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ales_Data" sheetId="2" state="visible" r:id="rId4"/>
    <sheet name="Product_Summary" sheetId="3" state="visible" r:id="rId5"/>
    <sheet name="Top_Transactions" sheetId="4" state="visible" r:id="rId6"/>
    <sheet name="High_Value" sheetId="5" state="visible" r:id="rId7"/>
    <sheet name="Underperformers" sheetId="6" state="visible" r:id="rId8"/>
  </sheets>
  <definedNames>
    <definedName function="false" hidden="true" localSheetId="4" name="_xlnm._FilterDatabase" vbProcedure="false">High_Value!$A$3:$K$35</definedName>
    <definedName function="false" hidden="true" localSheetId="2" name="_xlnm._FilterDatabase" vbProcedure="false">Product_Summary!$A$6:$J$18</definedName>
    <definedName function="false" hidden="true" localSheetId="1" name="_xlnm._FilterDatabase" vbProcedure="false">Sales_Data!$A$1:$N$301</definedName>
    <definedName function="false" hidden="true" localSheetId="3" name="_xlnm._FilterDatabase" vbProcedure="false">Top_Transactions!$A$3:$K$18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<sst xmlns="http://schemas.openxmlformats.org/spreadsheetml/2006/main" count="2251" uniqueCount="387">
  <si>
    <t xml:space="preserve">Sales Performance Analysis - FY Oct 2025 to Sep 2026</t>
  </si>
  <si>
    <t xml:space="preserve">Synthetic dataset (300 transactions, 12 products, 4 regions) created for practice. Not real company data.</t>
  </si>
  <si>
    <t xml:space="preserve">Sheets</t>
  </si>
  <si>
    <t xml:space="preserve">Sales_Data - raw transactions. Revenue and Profit are formulas. AutoFilter is on: filter by Region, Product, Returned, etc.</t>
  </si>
  <si>
    <t xml:space="preserve">Top_Transactions - top 15 transactions sorted by Revenue (descending).</t>
  </si>
  <si>
    <t xml:space="preserve">High_Value - every transaction at or above the high-value threshold, sorted by Revenue (descending).</t>
  </si>
  <si>
    <t xml:space="preserve">Product_Summary - revenue, profit and margin per product via SUMIFS. Status flags are driven by the blue threshold cells.</t>
  </si>
  <si>
    <t xml:space="preserve">Underperformers - filtered view of products flagged 'Underperforming', sorted by revenue (ascending).</t>
  </si>
  <si>
    <t xml:space="preserve">Definitions and assumptions</t>
  </si>
  <si>
    <t xml:space="preserve">Revenue = Quantity x Unit Price x (1 - Discount %).  Profit = Revenue - Quantity x Unit Cost.</t>
  </si>
  <si>
    <t xml:space="preserve">High-value transaction = Revenue &gt;= $32,400 (approx. 90th percentile of this dataset; typed in as a fixed number).</t>
  </si>
  <si>
    <t xml:space="preserve">Underperforming product = revenue below the share of average product revenue set in Product_Summary!B3, OR profit margin below B4.</t>
  </si>
  <si>
    <t xml:space="preserve">Sorted/filtered lists were ordered in Python; their values look up live data from Sales_Data by Transaction ID or product name.</t>
  </si>
  <si>
    <t xml:space="preserve">If you edit Sales_Data, re-sort manually (Data &gt; Sort) or ask for a refresh.</t>
  </si>
  <si>
    <t xml:space="preserve">Transaction ID</t>
  </si>
  <si>
    <t xml:space="preserve">Date</t>
  </si>
  <si>
    <t xml:space="preserve">Region</t>
  </si>
  <si>
    <t xml:space="preserve">Salesperson</t>
  </si>
  <si>
    <t xml:space="preserve">Customer</t>
  </si>
  <si>
    <t xml:space="preserve">Product</t>
  </si>
  <si>
    <t xml:space="preserve">Category</t>
  </si>
  <si>
    <t xml:space="preserve">Quantity</t>
  </si>
  <si>
    <t xml:space="preserve">Unit Price ($)</t>
  </si>
  <si>
    <t xml:space="preserve">Discount %</t>
  </si>
  <si>
    <t xml:space="preserve">Unit Cost ($)</t>
  </si>
  <si>
    <t xml:space="preserve">Revenue ($)</t>
  </si>
  <si>
    <t xml:space="preserve">Profit ($)</t>
  </si>
  <si>
    <t xml:space="preserve">Returned</t>
  </si>
  <si>
    <t xml:space="preserve">TXN-1001</t>
  </si>
  <si>
    <t xml:space="preserve">East</t>
  </si>
  <si>
    <t xml:space="preserve">Marcus Hill</t>
  </si>
  <si>
    <t xml:space="preserve">Nova Pharma</t>
  </si>
  <si>
    <t xml:space="preserve">Analytics Platform</t>
  </si>
  <si>
    <t xml:space="preserve">Software</t>
  </si>
  <si>
    <t xml:space="preserve">N</t>
  </si>
  <si>
    <t xml:space="preserve">TXN-1002</t>
  </si>
  <si>
    <t xml:space="preserve">West</t>
  </si>
  <si>
    <t xml:space="preserve">Daniel Cho</t>
  </si>
  <si>
    <t xml:space="preserve">Meridian Auto</t>
  </si>
  <si>
    <t xml:space="preserve">Smart Display 55in</t>
  </si>
  <si>
    <t xml:space="preserve">Hardware</t>
  </si>
  <si>
    <t xml:space="preserve">TXN-1003</t>
  </si>
  <si>
    <t xml:space="preserve">TXN-1004</t>
  </si>
  <si>
    <t xml:space="preserve">South</t>
  </si>
  <si>
    <t xml:space="preserve">Priya Nair</t>
  </si>
  <si>
    <t xml:space="preserve">Juniper Foods</t>
  </si>
  <si>
    <t xml:space="preserve">Wireless Router W2</t>
  </si>
  <si>
    <t xml:space="preserve">TXN-1005</t>
  </si>
  <si>
    <t xml:space="preserve">Grace Liu</t>
  </si>
  <si>
    <t xml:space="preserve">Lumen Telecom</t>
  </si>
  <si>
    <t xml:space="preserve">Business Laptop L5</t>
  </si>
  <si>
    <t xml:space="preserve">TXN-1006</t>
  </si>
  <si>
    <t xml:space="preserve">North</t>
  </si>
  <si>
    <t xml:space="preserve">Tom Becker</t>
  </si>
  <si>
    <t xml:space="preserve">Keystone Edu</t>
  </si>
  <si>
    <t xml:space="preserve">TXN-1007</t>
  </si>
  <si>
    <t xml:space="preserve">TXN-1008</t>
  </si>
  <si>
    <t xml:space="preserve">Orion Travel</t>
  </si>
  <si>
    <t xml:space="preserve">TXN-1009</t>
  </si>
  <si>
    <t xml:space="preserve">TXN-1010</t>
  </si>
  <si>
    <t xml:space="preserve">Apex Corp</t>
  </si>
  <si>
    <t xml:space="preserve">TXN-1011</t>
  </si>
  <si>
    <t xml:space="preserve">Sofia Rossi</t>
  </si>
  <si>
    <t xml:space="preserve">Delta Retail</t>
  </si>
  <si>
    <t xml:space="preserve">Y</t>
  </si>
  <si>
    <t xml:space="preserve">TXN-1012</t>
  </si>
  <si>
    <t xml:space="preserve">Fusion Media</t>
  </si>
  <si>
    <t xml:space="preserve">TXN-1013</t>
  </si>
  <si>
    <t xml:space="preserve">Basic Training Kit</t>
  </si>
  <si>
    <t xml:space="preserve">Services</t>
  </si>
  <si>
    <t xml:space="preserve">TXN-1014</t>
  </si>
  <si>
    <t xml:space="preserve">TXN-1015</t>
  </si>
  <si>
    <t xml:space="preserve">Aisha Khan</t>
  </si>
  <si>
    <t xml:space="preserve">Cybersecurity Shield</t>
  </si>
  <si>
    <t xml:space="preserve">TXN-1016</t>
  </si>
  <si>
    <t xml:space="preserve">Enterprise CRM Suite</t>
  </si>
  <si>
    <t xml:space="preserve">TXN-1017</t>
  </si>
  <si>
    <t xml:space="preserve">TXN-1018</t>
  </si>
  <si>
    <t xml:space="preserve">TXN-1019</t>
  </si>
  <si>
    <t xml:space="preserve">Granite Bank</t>
  </si>
  <si>
    <t xml:space="preserve">Server Rack X900</t>
  </si>
  <si>
    <t xml:space="preserve">TXN-1020</t>
  </si>
  <si>
    <t xml:space="preserve">BlueWave Ltd</t>
  </si>
  <si>
    <t xml:space="preserve">TXN-1021</t>
  </si>
  <si>
    <t xml:space="preserve">Ionic Energy</t>
  </si>
  <si>
    <t xml:space="preserve">Cloud Backup Pro</t>
  </si>
  <si>
    <t xml:space="preserve">TXN-1022</t>
  </si>
  <si>
    <t xml:space="preserve">TXN-1023</t>
  </si>
  <si>
    <t xml:space="preserve">Onboarding Package</t>
  </si>
  <si>
    <t xml:space="preserve">TXN-1024</t>
  </si>
  <si>
    <t xml:space="preserve">TXN-1025</t>
  </si>
  <si>
    <t xml:space="preserve">Luis Ortega</t>
  </si>
  <si>
    <t xml:space="preserve">TXN-1026</t>
  </si>
  <si>
    <t xml:space="preserve">TXN-1027</t>
  </si>
  <si>
    <t xml:space="preserve">TXN-1028</t>
  </si>
  <si>
    <t xml:space="preserve">TXN-1029</t>
  </si>
  <si>
    <t xml:space="preserve">TXN-1030</t>
  </si>
  <si>
    <t xml:space="preserve">TXN-1031</t>
  </si>
  <si>
    <t xml:space="preserve">Premium Support Plan</t>
  </si>
  <si>
    <t xml:space="preserve">TXN-1032</t>
  </si>
  <si>
    <t xml:space="preserve">TXN-1033</t>
  </si>
  <si>
    <t xml:space="preserve">TXN-1034</t>
  </si>
  <si>
    <t xml:space="preserve">TXN-1035</t>
  </si>
  <si>
    <t xml:space="preserve">TXN-1036</t>
  </si>
  <si>
    <t xml:space="preserve">TXN-1037</t>
  </si>
  <si>
    <t xml:space="preserve">TXN-1038</t>
  </si>
  <si>
    <t xml:space="preserve">Cobalt Systems</t>
  </si>
  <si>
    <t xml:space="preserve">TXN-1039</t>
  </si>
  <si>
    <t xml:space="preserve">TXN-1040</t>
  </si>
  <si>
    <t xml:space="preserve">Evergreen Health</t>
  </si>
  <si>
    <t xml:space="preserve">TXN-1041</t>
  </si>
  <si>
    <t xml:space="preserve">TXN-1042</t>
  </si>
  <si>
    <t xml:space="preserve">TXN-1043</t>
  </si>
  <si>
    <t xml:space="preserve">TXN-1044</t>
  </si>
  <si>
    <t xml:space="preserve">TXN-1045</t>
  </si>
  <si>
    <t xml:space="preserve">TXN-1046</t>
  </si>
  <si>
    <t xml:space="preserve">TXN-1047</t>
  </si>
  <si>
    <t xml:space="preserve">TXN-1048</t>
  </si>
  <si>
    <t xml:space="preserve">TXN-1049</t>
  </si>
  <si>
    <t xml:space="preserve">TXN-1050</t>
  </si>
  <si>
    <t xml:space="preserve">Horizon Logistics</t>
  </si>
  <si>
    <t xml:space="preserve">TXN-1051</t>
  </si>
  <si>
    <t xml:space="preserve">TXN-1052</t>
  </si>
  <si>
    <t xml:space="preserve">TXN-1053</t>
  </si>
  <si>
    <t xml:space="preserve">TXN-1054</t>
  </si>
  <si>
    <t xml:space="preserve">TXN-1055</t>
  </si>
  <si>
    <t xml:space="preserve">TXN-1056</t>
  </si>
  <si>
    <t xml:space="preserve">TXN-1057</t>
  </si>
  <si>
    <t xml:space="preserve">TXN-1058</t>
  </si>
  <si>
    <t xml:space="preserve">TXN-1059</t>
  </si>
  <si>
    <t xml:space="preserve">TXN-1060</t>
  </si>
  <si>
    <t xml:space="preserve">TXN-1061</t>
  </si>
  <si>
    <t xml:space="preserve">TXN-1062</t>
  </si>
  <si>
    <t xml:space="preserve">TXN-1063</t>
  </si>
  <si>
    <t xml:space="preserve">TXN-1064</t>
  </si>
  <si>
    <t xml:space="preserve">TXN-1065</t>
  </si>
  <si>
    <t xml:space="preserve">TXN-1066</t>
  </si>
  <si>
    <t xml:space="preserve">TXN-1067</t>
  </si>
  <si>
    <t xml:space="preserve">TXN-1068</t>
  </si>
  <si>
    <t xml:space="preserve">TXN-1069</t>
  </si>
  <si>
    <t xml:space="preserve">TXN-1070</t>
  </si>
  <si>
    <t xml:space="preserve">TXN-1071</t>
  </si>
  <si>
    <t xml:space="preserve">TXN-1072</t>
  </si>
  <si>
    <t xml:space="preserve">TXN-1073</t>
  </si>
  <si>
    <t xml:space="preserve">Legacy Fax Gateway</t>
  </si>
  <si>
    <t xml:space="preserve">TXN-1074</t>
  </si>
  <si>
    <t xml:space="preserve">TXN-1075</t>
  </si>
  <si>
    <t xml:space="preserve">TXN-1076</t>
  </si>
  <si>
    <t xml:space="preserve">TXN-1077</t>
  </si>
  <si>
    <t xml:space="preserve">TXN-1078</t>
  </si>
  <si>
    <t xml:space="preserve">TXN-1079</t>
  </si>
  <si>
    <t xml:space="preserve">TXN-1080</t>
  </si>
  <si>
    <t xml:space="preserve">TXN-1081</t>
  </si>
  <si>
    <t xml:space="preserve">TXN-1082</t>
  </si>
  <si>
    <t xml:space="preserve">TXN-1083</t>
  </si>
  <si>
    <t xml:space="preserve">TXN-1084</t>
  </si>
  <si>
    <t xml:space="preserve">TXN-1085</t>
  </si>
  <si>
    <t xml:space="preserve">TXN-1086</t>
  </si>
  <si>
    <t xml:space="preserve">TXN-1087</t>
  </si>
  <si>
    <t xml:space="preserve">TXN-1088</t>
  </si>
  <si>
    <t xml:space="preserve">TXN-1089</t>
  </si>
  <si>
    <t xml:space="preserve">TXN-1090</t>
  </si>
  <si>
    <t xml:space="preserve">TXN-1091</t>
  </si>
  <si>
    <t xml:space="preserve">TXN-1092</t>
  </si>
  <si>
    <t xml:space="preserve">TXN-1093</t>
  </si>
  <si>
    <t xml:space="preserve">TXN-1094</t>
  </si>
  <si>
    <t xml:space="preserve">TXN-1095</t>
  </si>
  <si>
    <t xml:space="preserve">TXN-1096</t>
  </si>
  <si>
    <t xml:space="preserve">TXN-1097</t>
  </si>
  <si>
    <t xml:space="preserve">TXN-1098</t>
  </si>
  <si>
    <t xml:space="preserve">TXN-1099</t>
  </si>
  <si>
    <t xml:space="preserve">TXN-1100</t>
  </si>
  <si>
    <t xml:space="preserve">TXN-1101</t>
  </si>
  <si>
    <t xml:space="preserve">TXN-1102</t>
  </si>
  <si>
    <t xml:space="preserve">TXN-1103</t>
  </si>
  <si>
    <t xml:space="preserve">TXN-1104</t>
  </si>
  <si>
    <t xml:space="preserve">TXN-1105</t>
  </si>
  <si>
    <t xml:space="preserve">TXN-1106</t>
  </si>
  <si>
    <t xml:space="preserve">TXN-1107</t>
  </si>
  <si>
    <t xml:space="preserve">TXN-1108</t>
  </si>
  <si>
    <t xml:space="preserve">TXN-1109</t>
  </si>
  <si>
    <t xml:space="preserve">TXN-1110</t>
  </si>
  <si>
    <t xml:space="preserve">TXN-1111</t>
  </si>
  <si>
    <t xml:space="preserve">TXN-1112</t>
  </si>
  <si>
    <t xml:space="preserve">TXN-1113</t>
  </si>
  <si>
    <t xml:space="preserve">TXN-1114</t>
  </si>
  <si>
    <t xml:space="preserve">TXN-1115</t>
  </si>
  <si>
    <t xml:space="preserve">TXN-1116</t>
  </si>
  <si>
    <t xml:space="preserve">TXN-1117</t>
  </si>
  <si>
    <t xml:space="preserve">TXN-1118</t>
  </si>
  <si>
    <t xml:space="preserve">TXN-1119</t>
  </si>
  <si>
    <t xml:space="preserve">TXN-1120</t>
  </si>
  <si>
    <t xml:space="preserve">TXN-1121</t>
  </si>
  <si>
    <t xml:space="preserve">TXN-1122</t>
  </si>
  <si>
    <t xml:space="preserve">TXN-1123</t>
  </si>
  <si>
    <t xml:space="preserve">TXN-1124</t>
  </si>
  <si>
    <t xml:space="preserve">TXN-1125</t>
  </si>
  <si>
    <t xml:space="preserve">TXN-1126</t>
  </si>
  <si>
    <t xml:space="preserve">TXN-1127</t>
  </si>
  <si>
    <t xml:space="preserve">TXN-1128</t>
  </si>
  <si>
    <t xml:space="preserve">TXN-1129</t>
  </si>
  <si>
    <t xml:space="preserve">TXN-1130</t>
  </si>
  <si>
    <t xml:space="preserve">TXN-1131</t>
  </si>
  <si>
    <t xml:space="preserve">TXN-1132</t>
  </si>
  <si>
    <t xml:space="preserve">TXN-1133</t>
  </si>
  <si>
    <t xml:space="preserve">TXN-1134</t>
  </si>
  <si>
    <t xml:space="preserve">TXN-1135</t>
  </si>
  <si>
    <t xml:space="preserve">TXN-1136</t>
  </si>
  <si>
    <t xml:space="preserve">TXN-1137</t>
  </si>
  <si>
    <t xml:space="preserve">TXN-1138</t>
  </si>
  <si>
    <t xml:space="preserve">TXN-1139</t>
  </si>
  <si>
    <t xml:space="preserve">TXN-1140</t>
  </si>
  <si>
    <t xml:space="preserve">TXN-1141</t>
  </si>
  <si>
    <t xml:space="preserve">TXN-1142</t>
  </si>
  <si>
    <t xml:space="preserve">TXN-1143</t>
  </si>
  <si>
    <t xml:space="preserve">TXN-1144</t>
  </si>
  <si>
    <t xml:space="preserve">TXN-1145</t>
  </si>
  <si>
    <t xml:space="preserve">TXN-1146</t>
  </si>
  <si>
    <t xml:space="preserve">TXN-1147</t>
  </si>
  <si>
    <t xml:space="preserve">TXN-1148</t>
  </si>
  <si>
    <t xml:space="preserve">TXN-1149</t>
  </si>
  <si>
    <t xml:space="preserve">TXN-1150</t>
  </si>
  <si>
    <t xml:space="preserve">TXN-1151</t>
  </si>
  <si>
    <t xml:space="preserve">TXN-1152</t>
  </si>
  <si>
    <t xml:space="preserve">TXN-1153</t>
  </si>
  <si>
    <t xml:space="preserve">TXN-1154</t>
  </si>
  <si>
    <t xml:space="preserve">TXN-1155</t>
  </si>
  <si>
    <t xml:space="preserve">TXN-1156</t>
  </si>
  <si>
    <t xml:space="preserve">TXN-1157</t>
  </si>
  <si>
    <t xml:space="preserve">TXN-1158</t>
  </si>
  <si>
    <t xml:space="preserve">TXN-1159</t>
  </si>
  <si>
    <t xml:space="preserve">TXN-1160</t>
  </si>
  <si>
    <t xml:space="preserve">TXN-1161</t>
  </si>
  <si>
    <t xml:space="preserve">TXN-1162</t>
  </si>
  <si>
    <t xml:space="preserve">TXN-1163</t>
  </si>
  <si>
    <t xml:space="preserve">TXN-1164</t>
  </si>
  <si>
    <t xml:space="preserve">TXN-1165</t>
  </si>
  <si>
    <t xml:space="preserve">TXN-1166</t>
  </si>
  <si>
    <t xml:space="preserve">TXN-1167</t>
  </si>
  <si>
    <t xml:space="preserve">TXN-1168</t>
  </si>
  <si>
    <t xml:space="preserve">TXN-1169</t>
  </si>
  <si>
    <t xml:space="preserve">TXN-1170</t>
  </si>
  <si>
    <t xml:space="preserve">TXN-1171</t>
  </si>
  <si>
    <t xml:space="preserve">TXN-1172</t>
  </si>
  <si>
    <t xml:space="preserve">TXN-1173</t>
  </si>
  <si>
    <t xml:space="preserve">TXN-1174</t>
  </si>
  <si>
    <t xml:space="preserve">TXN-1175</t>
  </si>
  <si>
    <t xml:space="preserve">TXN-1176</t>
  </si>
  <si>
    <t xml:space="preserve">TXN-1177</t>
  </si>
  <si>
    <t xml:space="preserve">TXN-1178</t>
  </si>
  <si>
    <t xml:space="preserve">TXN-1179</t>
  </si>
  <si>
    <t xml:space="preserve">TXN-1180</t>
  </si>
  <si>
    <t xml:space="preserve">TXN-1181</t>
  </si>
  <si>
    <t xml:space="preserve">TXN-1182</t>
  </si>
  <si>
    <t xml:space="preserve">TXN-1183</t>
  </si>
  <si>
    <t xml:space="preserve">TXN-1184</t>
  </si>
  <si>
    <t xml:space="preserve">TXN-1185</t>
  </si>
  <si>
    <t xml:space="preserve">TXN-1186</t>
  </si>
  <si>
    <t xml:space="preserve">TXN-1187</t>
  </si>
  <si>
    <t xml:space="preserve">TXN-1188</t>
  </si>
  <si>
    <t xml:space="preserve">TXN-1189</t>
  </si>
  <si>
    <t xml:space="preserve">TXN-1190</t>
  </si>
  <si>
    <t xml:space="preserve">TXN-1191</t>
  </si>
  <si>
    <t xml:space="preserve">TXN-1192</t>
  </si>
  <si>
    <t xml:space="preserve">TXN-1193</t>
  </si>
  <si>
    <t xml:space="preserve">TXN-1194</t>
  </si>
  <si>
    <t xml:space="preserve">TXN-1195</t>
  </si>
  <si>
    <t xml:space="preserve">TXN-1196</t>
  </si>
  <si>
    <t xml:space="preserve">TXN-1197</t>
  </si>
  <si>
    <t xml:space="preserve">TXN-1198</t>
  </si>
  <si>
    <t xml:space="preserve">TXN-1199</t>
  </si>
  <si>
    <t xml:space="preserve">TXN-1200</t>
  </si>
  <si>
    <t xml:space="preserve">TXN-1201</t>
  </si>
  <si>
    <t xml:space="preserve">TXN-1202</t>
  </si>
  <si>
    <t xml:space="preserve">TXN-1203</t>
  </si>
  <si>
    <t xml:space="preserve">TXN-1204</t>
  </si>
  <si>
    <t xml:space="preserve">TXN-1205</t>
  </si>
  <si>
    <t xml:space="preserve">TXN-1206</t>
  </si>
  <si>
    <t xml:space="preserve">TXN-1207</t>
  </si>
  <si>
    <t xml:space="preserve">TXN-1208</t>
  </si>
  <si>
    <t xml:space="preserve">TXN-1209</t>
  </si>
  <si>
    <t xml:space="preserve">TXN-1210</t>
  </si>
  <si>
    <t xml:space="preserve">TXN-1211</t>
  </si>
  <si>
    <t xml:space="preserve">TXN-1212</t>
  </si>
  <si>
    <t xml:space="preserve">TXN-1213</t>
  </si>
  <si>
    <t xml:space="preserve">TXN-1214</t>
  </si>
  <si>
    <t xml:space="preserve">TXN-1215</t>
  </si>
  <si>
    <t xml:space="preserve">TXN-1216</t>
  </si>
  <si>
    <t xml:space="preserve">TXN-1217</t>
  </si>
  <si>
    <t xml:space="preserve">TXN-1218</t>
  </si>
  <si>
    <t xml:space="preserve">TXN-1219</t>
  </si>
  <si>
    <t xml:space="preserve">TXN-1220</t>
  </si>
  <si>
    <t xml:space="preserve">TXN-1221</t>
  </si>
  <si>
    <t xml:space="preserve">TXN-1222</t>
  </si>
  <si>
    <t xml:space="preserve">TXN-1223</t>
  </si>
  <si>
    <t xml:space="preserve">TXN-1224</t>
  </si>
  <si>
    <t xml:space="preserve">TXN-1225</t>
  </si>
  <si>
    <t xml:space="preserve">TXN-1226</t>
  </si>
  <si>
    <t xml:space="preserve">TXN-1227</t>
  </si>
  <si>
    <t xml:space="preserve">TXN-1228</t>
  </si>
  <si>
    <t xml:space="preserve">TXN-1229</t>
  </si>
  <si>
    <t xml:space="preserve">TXN-1230</t>
  </si>
  <si>
    <t xml:space="preserve">TXN-1231</t>
  </si>
  <si>
    <t xml:space="preserve">TXN-1232</t>
  </si>
  <si>
    <t xml:space="preserve">TXN-1233</t>
  </si>
  <si>
    <t xml:space="preserve">TXN-1234</t>
  </si>
  <si>
    <t xml:space="preserve">TXN-1235</t>
  </si>
  <si>
    <t xml:space="preserve">TXN-1236</t>
  </si>
  <si>
    <t xml:space="preserve">TXN-1237</t>
  </si>
  <si>
    <t xml:space="preserve">TXN-1238</t>
  </si>
  <si>
    <t xml:space="preserve">TXN-1239</t>
  </si>
  <si>
    <t xml:space="preserve">TXN-1240</t>
  </si>
  <si>
    <t xml:space="preserve">TXN-1241</t>
  </si>
  <si>
    <t xml:space="preserve">TXN-1242</t>
  </si>
  <si>
    <t xml:space="preserve">TXN-1243</t>
  </si>
  <si>
    <t xml:space="preserve">TXN-1244</t>
  </si>
  <si>
    <t xml:space="preserve">TXN-1245</t>
  </si>
  <si>
    <t xml:space="preserve">TXN-1246</t>
  </si>
  <si>
    <t xml:space="preserve">TXN-1247</t>
  </si>
  <si>
    <t xml:space="preserve">TXN-1248</t>
  </si>
  <si>
    <t xml:space="preserve">TXN-1249</t>
  </si>
  <si>
    <t xml:space="preserve">TXN-1250</t>
  </si>
  <si>
    <t xml:space="preserve">TXN-1251</t>
  </si>
  <si>
    <t xml:space="preserve">TXN-1252</t>
  </si>
  <si>
    <t xml:space="preserve">TXN-1253</t>
  </si>
  <si>
    <t xml:space="preserve">TXN-1254</t>
  </si>
  <si>
    <t xml:space="preserve">TXN-1255</t>
  </si>
  <si>
    <t xml:space="preserve">TXN-1256</t>
  </si>
  <si>
    <t xml:space="preserve">TXN-1257</t>
  </si>
  <si>
    <t xml:space="preserve">TXN-1258</t>
  </si>
  <si>
    <t xml:space="preserve">TXN-1259</t>
  </si>
  <si>
    <t xml:space="preserve">TXN-1260</t>
  </si>
  <si>
    <t xml:space="preserve">TXN-1261</t>
  </si>
  <si>
    <t xml:space="preserve">TXN-1262</t>
  </si>
  <si>
    <t xml:space="preserve">TXN-1263</t>
  </si>
  <si>
    <t xml:space="preserve">TXN-1264</t>
  </si>
  <si>
    <t xml:space="preserve">TXN-1265</t>
  </si>
  <si>
    <t xml:space="preserve">TXN-1266</t>
  </si>
  <si>
    <t xml:space="preserve">TXN-1267</t>
  </si>
  <si>
    <t xml:space="preserve">TXN-1268</t>
  </si>
  <si>
    <t xml:space="preserve">TXN-1269</t>
  </si>
  <si>
    <t xml:space="preserve">TXN-1270</t>
  </si>
  <si>
    <t xml:space="preserve">TXN-1271</t>
  </si>
  <si>
    <t xml:space="preserve">TXN-1272</t>
  </si>
  <si>
    <t xml:space="preserve">TXN-1273</t>
  </si>
  <si>
    <t xml:space="preserve">TXN-1274</t>
  </si>
  <si>
    <t xml:space="preserve">TXN-1275</t>
  </si>
  <si>
    <t xml:space="preserve">TXN-1276</t>
  </si>
  <si>
    <t xml:space="preserve">TXN-1277</t>
  </si>
  <si>
    <t xml:space="preserve">TXN-1278</t>
  </si>
  <si>
    <t xml:space="preserve">TXN-1279</t>
  </si>
  <si>
    <t xml:space="preserve">TXN-1280</t>
  </si>
  <si>
    <t xml:space="preserve">TXN-1281</t>
  </si>
  <si>
    <t xml:space="preserve">TXN-1282</t>
  </si>
  <si>
    <t xml:space="preserve">TXN-1283</t>
  </si>
  <si>
    <t xml:space="preserve">TXN-1284</t>
  </si>
  <si>
    <t xml:space="preserve">TXN-1285</t>
  </si>
  <si>
    <t xml:space="preserve">TXN-1286</t>
  </si>
  <si>
    <t xml:space="preserve">TXN-1287</t>
  </si>
  <si>
    <t xml:space="preserve">TXN-1288</t>
  </si>
  <si>
    <t xml:space="preserve">TXN-1289</t>
  </si>
  <si>
    <t xml:space="preserve">TXN-1290</t>
  </si>
  <si>
    <t xml:space="preserve">TXN-1291</t>
  </si>
  <si>
    <t xml:space="preserve">TXN-1292</t>
  </si>
  <si>
    <t xml:space="preserve">TXN-1293</t>
  </si>
  <si>
    <t xml:space="preserve">TXN-1294</t>
  </si>
  <si>
    <t xml:space="preserve">TXN-1295</t>
  </si>
  <si>
    <t xml:space="preserve">TXN-1296</t>
  </si>
  <si>
    <t xml:space="preserve">TXN-1297</t>
  </si>
  <si>
    <t xml:space="preserve">TXN-1298</t>
  </si>
  <si>
    <t xml:space="preserve">TXN-1299</t>
  </si>
  <si>
    <t xml:space="preserve">TXN-1300</t>
  </si>
  <si>
    <t xml:space="preserve">Product Performance Summary</t>
  </si>
  <si>
    <t xml:space="preserve">Underperformance: revenue below this % of average product revenue</t>
  </si>
  <si>
    <t xml:space="preserve">Edit the yellow cells to change what counts as underperforming.</t>
  </si>
  <si>
    <t xml:space="preserve">Underperformance: profit margin below</t>
  </si>
  <si>
    <t xml:space="preserve">Transactions</t>
  </si>
  <si>
    <t xml:space="preserve">Units Sold</t>
  </si>
  <si>
    <t xml:space="preserve">Margin %</t>
  </si>
  <si>
    <t xml:space="preserve">Return Rate</t>
  </si>
  <si>
    <t xml:space="preserve">Revenue vs Avg</t>
  </si>
  <si>
    <t xml:space="preserve">Status</t>
  </si>
  <si>
    <t xml:space="preserve">Total</t>
  </si>
  <si>
    <t xml:space="preserve">Top 15 Transactions by Revenue</t>
  </si>
  <si>
    <t xml:space="preserve">Rank</t>
  </si>
  <si>
    <t xml:space="preserve">High-Value Transactions (Revenue &gt;= $32,400) - 32 transactions</t>
  </si>
  <si>
    <t xml:space="preserve">Underperforming Products (sorted by revenue, lowest first)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</si>
</sst>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\$#,##0;&quot;($&quot;#,##0\);\-"/>
    <numFmt numFmtId="167" formatCode="0%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3" min="11" style="0" width="13"/>
    <col collapsed="false" customWidth="true" hidden="false" outlineLevel="0" max="14" min="14" style="0" width="10"/>
  </cols>
  <sheetData>
    <row r="1" customFormat="false" ht="30" hidden="false" customHeight="tru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</row>
    <row r="2" customFormat="false" ht="15" hidden="false" customHeight="false" outlineLevel="0" collapsed="false">
      <c r="A2" s="2" t="s">
        <v>28</v>
      </c>
      <c r="B2" s="5" t="n">
        <v>45932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6" t="n">
        <v>4</v>
      </c>
      <c r="I2" s="7" t="n">
        <v>8500</v>
      </c>
      <c r="J2" s="8" t="n">
        <v>0.05</v>
      </c>
      <c r="K2" s="7" t="n">
        <v>3200</v>
      </c>
      <c r="L2" s="9" t="n">
        <f aca="false">H2*I2*(1-J2)</f>
        <v>32300</v>
      </c>
      <c r="M2" s="9" t="n">
        <f aca="false">L2-H2*K2</f>
        <v>19500</v>
      </c>
      <c r="N2" s="2" t="s">
        <v>34</v>
      </c>
    </row>
    <row r="3" customFormat="false" ht="15" hidden="false" customHeight="false" outlineLevel="0" collapsed="false">
      <c r="A3" s="2" t="s">
        <v>35</v>
      </c>
      <c r="B3" s="5" t="n">
        <v>45934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6" t="n">
        <v>1</v>
      </c>
      <c r="I3" s="7" t="n">
        <v>1900</v>
      </c>
      <c r="J3" s="8" t="n">
        <v>0.3</v>
      </c>
      <c r="K3" s="7" t="n">
        <v>1650</v>
      </c>
      <c r="L3" s="9" t="n">
        <f aca="false">H3*I3*(1-J3)</f>
        <v>1330</v>
      </c>
      <c r="M3" s="9" t="n">
        <f aca="false">L3-H3*K3</f>
        <v>-320</v>
      </c>
      <c r="N3" s="2" t="s">
        <v>34</v>
      </c>
    </row>
    <row r="4" customFormat="false" ht="15" hidden="false" customHeight="false" outlineLevel="0" collapsed="false">
      <c r="A4" s="2" t="s">
        <v>41</v>
      </c>
      <c r="B4" s="5" t="n">
        <v>45938</v>
      </c>
      <c r="C4" s="2" t="s">
        <v>36</v>
      </c>
      <c r="D4" s="2" t="s">
        <v>37</v>
      </c>
      <c r="E4" s="2" t="s">
        <v>31</v>
      </c>
      <c r="F4" s="2" t="s">
        <v>32</v>
      </c>
      <c r="G4" s="2" t="s">
        <v>33</v>
      </c>
      <c r="H4" s="6" t="n">
        <v>4</v>
      </c>
      <c r="I4" s="7" t="n">
        <v>8500</v>
      </c>
      <c r="J4" s="8" t="n">
        <v>0</v>
      </c>
      <c r="K4" s="7" t="n">
        <v>3200</v>
      </c>
      <c r="L4" s="9" t="n">
        <f aca="false">H4*I4*(1-J4)</f>
        <v>34000</v>
      </c>
      <c r="M4" s="9" t="n">
        <f aca="false">L4-H4*K4</f>
        <v>21200</v>
      </c>
      <c r="N4" s="2" t="s">
        <v>34</v>
      </c>
    </row>
    <row r="5" customFormat="false" ht="15" hidden="false" customHeight="false" outlineLevel="0" collapsed="false">
      <c r="A5" s="2" t="s">
        <v>42</v>
      </c>
      <c r="B5" s="5" t="n">
        <v>45938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40</v>
      </c>
      <c r="H5" s="6" t="n">
        <v>8</v>
      </c>
      <c r="I5" s="7" t="n">
        <v>320</v>
      </c>
      <c r="J5" s="8" t="n">
        <v>0.15</v>
      </c>
      <c r="K5" s="7" t="n">
        <v>240</v>
      </c>
      <c r="L5" s="9" t="n">
        <f aca="false">H5*I5*(1-J5)</f>
        <v>2176</v>
      </c>
      <c r="M5" s="9" t="n">
        <f aca="false">L5-H5*K5</f>
        <v>256</v>
      </c>
      <c r="N5" s="2" t="s">
        <v>34</v>
      </c>
    </row>
    <row r="6" customFormat="false" ht="15" hidden="false" customHeight="false" outlineLevel="0" collapsed="false">
      <c r="A6" s="2" t="s">
        <v>47</v>
      </c>
      <c r="B6" s="5" t="n">
        <v>45942</v>
      </c>
      <c r="C6" s="2" t="s">
        <v>29</v>
      </c>
      <c r="D6" s="2" t="s">
        <v>48</v>
      </c>
      <c r="E6" s="2" t="s">
        <v>49</v>
      </c>
      <c r="F6" s="2" t="s">
        <v>50</v>
      </c>
      <c r="G6" s="2" t="s">
        <v>40</v>
      </c>
      <c r="H6" s="6" t="n">
        <v>25</v>
      </c>
      <c r="I6" s="7" t="n">
        <v>1450</v>
      </c>
      <c r="J6" s="8" t="n">
        <v>0.05</v>
      </c>
      <c r="K6" s="7" t="n">
        <v>1050</v>
      </c>
      <c r="L6" s="9" t="n">
        <f aca="false">H6*I6*(1-J6)</f>
        <v>34437.5</v>
      </c>
      <c r="M6" s="9" t="n">
        <f aca="false">L6-H6*K6</f>
        <v>8187.5</v>
      </c>
      <c r="N6" s="2" t="s">
        <v>34</v>
      </c>
    </row>
    <row r="7" customFormat="false" ht="15" hidden="false" customHeight="false" outlineLevel="0" collapsed="false">
      <c r="A7" s="2" t="s">
        <v>51</v>
      </c>
      <c r="B7" s="5" t="n">
        <v>45942</v>
      </c>
      <c r="C7" s="2" t="s">
        <v>52</v>
      </c>
      <c r="D7" s="2" t="s">
        <v>53</v>
      </c>
      <c r="E7" s="2" t="s">
        <v>54</v>
      </c>
      <c r="F7" s="2" t="s">
        <v>32</v>
      </c>
      <c r="G7" s="2" t="s">
        <v>33</v>
      </c>
      <c r="H7" s="6" t="n">
        <v>2</v>
      </c>
      <c r="I7" s="7" t="n">
        <v>8500</v>
      </c>
      <c r="J7" s="8" t="n">
        <v>0.2</v>
      </c>
      <c r="K7" s="7" t="n">
        <v>3200</v>
      </c>
      <c r="L7" s="9" t="n">
        <f aca="false">H7*I7*(1-J7)</f>
        <v>13600</v>
      </c>
      <c r="M7" s="9" t="n">
        <f aca="false">L7-H7*K7</f>
        <v>7200</v>
      </c>
      <c r="N7" s="2" t="s">
        <v>34</v>
      </c>
    </row>
    <row r="8" customFormat="false" ht="15" hidden="false" customHeight="false" outlineLevel="0" collapsed="false">
      <c r="A8" s="2" t="s">
        <v>55</v>
      </c>
      <c r="B8" s="5" t="n">
        <v>45944</v>
      </c>
      <c r="C8" s="2" t="s">
        <v>29</v>
      </c>
      <c r="D8" s="2" t="s">
        <v>48</v>
      </c>
      <c r="E8" s="2" t="s">
        <v>38</v>
      </c>
      <c r="F8" s="2" t="s">
        <v>50</v>
      </c>
      <c r="G8" s="2" t="s">
        <v>40</v>
      </c>
      <c r="H8" s="6" t="n">
        <v>10</v>
      </c>
      <c r="I8" s="7" t="n">
        <v>1450</v>
      </c>
      <c r="J8" s="8" t="n">
        <v>0.1</v>
      </c>
      <c r="K8" s="7" t="n">
        <v>1050</v>
      </c>
      <c r="L8" s="9" t="n">
        <f aca="false">H8*I8*(1-J8)</f>
        <v>13050</v>
      </c>
      <c r="M8" s="9" t="n">
        <f aca="false">L8-H8*K8</f>
        <v>2550</v>
      </c>
      <c r="N8" s="2" t="s">
        <v>34</v>
      </c>
    </row>
    <row r="9" customFormat="false" ht="15" hidden="false" customHeight="false" outlineLevel="0" collapsed="false">
      <c r="A9" s="2" t="s">
        <v>56</v>
      </c>
      <c r="B9" s="5" t="n">
        <v>45945</v>
      </c>
      <c r="C9" s="2" t="s">
        <v>29</v>
      </c>
      <c r="D9" s="2" t="s">
        <v>30</v>
      </c>
      <c r="E9" s="2" t="s">
        <v>57</v>
      </c>
      <c r="F9" s="2" t="s">
        <v>50</v>
      </c>
      <c r="G9" s="2" t="s">
        <v>40</v>
      </c>
      <c r="H9" s="6" t="n">
        <v>25</v>
      </c>
      <c r="I9" s="7" t="n">
        <v>1450</v>
      </c>
      <c r="J9" s="8" t="n">
        <v>0</v>
      </c>
      <c r="K9" s="7" t="n">
        <v>1050</v>
      </c>
      <c r="L9" s="9" t="n">
        <f aca="false">H9*I9*(1-J9)</f>
        <v>36250</v>
      </c>
      <c r="M9" s="9" t="n">
        <f aca="false">L9-H9*K9</f>
        <v>10000</v>
      </c>
      <c r="N9" s="2" t="s">
        <v>34</v>
      </c>
    </row>
    <row r="10" customFormat="false" ht="15" hidden="false" customHeight="false" outlineLevel="0" collapsed="false">
      <c r="A10" s="2" t="s">
        <v>58</v>
      </c>
      <c r="B10" s="5" t="n">
        <v>45945</v>
      </c>
      <c r="C10" s="2" t="s">
        <v>52</v>
      </c>
      <c r="D10" s="2" t="s">
        <v>53</v>
      </c>
      <c r="E10" s="2" t="s">
        <v>54</v>
      </c>
      <c r="F10" s="2" t="s">
        <v>46</v>
      </c>
      <c r="G10" s="2" t="s">
        <v>40</v>
      </c>
      <c r="H10" s="6" t="n">
        <v>10</v>
      </c>
      <c r="I10" s="7" t="n">
        <v>320</v>
      </c>
      <c r="J10" s="8" t="n">
        <v>0.2</v>
      </c>
      <c r="K10" s="7" t="n">
        <v>240</v>
      </c>
      <c r="L10" s="9" t="n">
        <f aca="false">H10*I10*(1-J10)</f>
        <v>2560</v>
      </c>
      <c r="M10" s="9" t="n">
        <f aca="false">L10-H10*K10</f>
        <v>160</v>
      </c>
      <c r="N10" s="2" t="s">
        <v>34</v>
      </c>
    </row>
    <row r="11" customFormat="false" ht="15" hidden="false" customHeight="false" outlineLevel="0" collapsed="false">
      <c r="A11" s="2" t="s">
        <v>59</v>
      </c>
      <c r="B11" s="5" t="n">
        <v>45946</v>
      </c>
      <c r="C11" s="2" t="s">
        <v>43</v>
      </c>
      <c r="D11" s="2" t="s">
        <v>44</v>
      </c>
      <c r="E11" s="2" t="s">
        <v>60</v>
      </c>
      <c r="F11" s="2" t="s">
        <v>46</v>
      </c>
      <c r="G11" s="2" t="s">
        <v>40</v>
      </c>
      <c r="H11" s="6" t="n">
        <v>15</v>
      </c>
      <c r="I11" s="7" t="n">
        <v>320</v>
      </c>
      <c r="J11" s="8" t="n">
        <v>0.05</v>
      </c>
      <c r="K11" s="7" t="n">
        <v>240</v>
      </c>
      <c r="L11" s="9" t="n">
        <f aca="false">H11*I11*(1-J11)</f>
        <v>4560</v>
      </c>
      <c r="M11" s="9" t="n">
        <f aca="false">L11-H11*K11</f>
        <v>960</v>
      </c>
      <c r="N11" s="2" t="s">
        <v>34</v>
      </c>
    </row>
    <row r="12" customFormat="false" ht="15" hidden="false" customHeight="false" outlineLevel="0" collapsed="false">
      <c r="A12" s="2" t="s">
        <v>61</v>
      </c>
      <c r="B12" s="5" t="n">
        <v>45947</v>
      </c>
      <c r="C12" s="2" t="s">
        <v>36</v>
      </c>
      <c r="D12" s="2" t="s">
        <v>62</v>
      </c>
      <c r="E12" s="2" t="s">
        <v>63</v>
      </c>
      <c r="F12" s="2" t="s">
        <v>46</v>
      </c>
      <c r="G12" s="2" t="s">
        <v>40</v>
      </c>
      <c r="H12" s="6" t="n">
        <v>25</v>
      </c>
      <c r="I12" s="7" t="n">
        <v>320</v>
      </c>
      <c r="J12" s="8" t="n">
        <v>0</v>
      </c>
      <c r="K12" s="7" t="n">
        <v>240</v>
      </c>
      <c r="L12" s="9" t="n">
        <f aca="false">H12*I12*(1-J12)</f>
        <v>8000</v>
      </c>
      <c r="M12" s="9" t="n">
        <f aca="false">L12-H12*K12</f>
        <v>2000</v>
      </c>
      <c r="N12" s="2" t="s">
        <v>64</v>
      </c>
    </row>
    <row r="13" customFormat="false" ht="15" hidden="false" customHeight="false" outlineLevel="0" collapsed="false">
      <c r="A13" s="2" t="s">
        <v>65</v>
      </c>
      <c r="B13" s="5" t="n">
        <v>45950</v>
      </c>
      <c r="C13" s="2" t="s">
        <v>29</v>
      </c>
      <c r="D13" s="2" t="s">
        <v>30</v>
      </c>
      <c r="E13" s="2" t="s">
        <v>66</v>
      </c>
      <c r="F13" s="2" t="s">
        <v>32</v>
      </c>
      <c r="G13" s="2" t="s">
        <v>33</v>
      </c>
      <c r="H13" s="6" t="n">
        <v>3</v>
      </c>
      <c r="I13" s="7" t="n">
        <v>8500</v>
      </c>
      <c r="J13" s="8" t="n">
        <v>0</v>
      </c>
      <c r="K13" s="7" t="n">
        <v>3200</v>
      </c>
      <c r="L13" s="9" t="n">
        <f aca="false">H13*I13*(1-J13)</f>
        <v>25500</v>
      </c>
      <c r="M13" s="9" t="n">
        <f aca="false">L13-H13*K13</f>
        <v>15900</v>
      </c>
      <c r="N13" s="2" t="s">
        <v>34</v>
      </c>
    </row>
    <row r="14" customFormat="false" ht="15" hidden="false" customHeight="false" outlineLevel="0" collapsed="false">
      <c r="A14" s="2" t="s">
        <v>67</v>
      </c>
      <c r="B14" s="5" t="n">
        <v>45952</v>
      </c>
      <c r="C14" s="2" t="s">
        <v>29</v>
      </c>
      <c r="D14" s="2" t="s">
        <v>48</v>
      </c>
      <c r="E14" s="2" t="s">
        <v>66</v>
      </c>
      <c r="F14" s="2" t="s">
        <v>68</v>
      </c>
      <c r="G14" s="2" t="s">
        <v>69</v>
      </c>
      <c r="H14" s="6" t="n">
        <v>10</v>
      </c>
      <c r="I14" s="7" t="n">
        <v>600</v>
      </c>
      <c r="J14" s="8" t="n">
        <v>0.2</v>
      </c>
      <c r="K14" s="7" t="n">
        <v>520</v>
      </c>
      <c r="L14" s="9" t="n">
        <f aca="false">H14*I14*(1-J14)</f>
        <v>4800</v>
      </c>
      <c r="M14" s="9" t="n">
        <f aca="false">L14-H14*K14</f>
        <v>-400</v>
      </c>
      <c r="N14" s="2" t="s">
        <v>34</v>
      </c>
    </row>
    <row r="15" customFormat="false" ht="15" hidden="false" customHeight="false" outlineLevel="0" collapsed="false">
      <c r="A15" s="2" t="s">
        <v>70</v>
      </c>
      <c r="B15" s="5" t="n">
        <v>45957</v>
      </c>
      <c r="C15" s="2" t="s">
        <v>36</v>
      </c>
      <c r="D15" s="2" t="s">
        <v>37</v>
      </c>
      <c r="E15" s="2" t="s">
        <v>66</v>
      </c>
      <c r="F15" s="2" t="s">
        <v>32</v>
      </c>
      <c r="G15" s="2" t="s">
        <v>33</v>
      </c>
      <c r="H15" s="6" t="n">
        <v>3</v>
      </c>
      <c r="I15" s="7" t="n">
        <v>8500</v>
      </c>
      <c r="J15" s="8" t="n">
        <v>0.2</v>
      </c>
      <c r="K15" s="7" t="n">
        <v>3200</v>
      </c>
      <c r="L15" s="9" t="n">
        <f aca="false">H15*I15*(1-J15)</f>
        <v>20400</v>
      </c>
      <c r="M15" s="9" t="n">
        <f aca="false">L15-H15*K15</f>
        <v>10800</v>
      </c>
      <c r="N15" s="2" t="s">
        <v>34</v>
      </c>
    </row>
    <row r="16" customFormat="false" ht="15" hidden="false" customHeight="false" outlineLevel="0" collapsed="false">
      <c r="A16" s="2" t="s">
        <v>71</v>
      </c>
      <c r="B16" s="5" t="n">
        <v>45957</v>
      </c>
      <c r="C16" s="2" t="s">
        <v>52</v>
      </c>
      <c r="D16" s="2" t="s">
        <v>72</v>
      </c>
      <c r="E16" s="2" t="s">
        <v>54</v>
      </c>
      <c r="F16" s="2" t="s">
        <v>73</v>
      </c>
      <c r="G16" s="2" t="s">
        <v>33</v>
      </c>
      <c r="H16" s="6" t="n">
        <v>3</v>
      </c>
      <c r="I16" s="7" t="n">
        <v>6200</v>
      </c>
      <c r="J16" s="8" t="n">
        <v>0.2</v>
      </c>
      <c r="K16" s="7" t="n">
        <v>2600</v>
      </c>
      <c r="L16" s="9" t="n">
        <f aca="false">H16*I16*(1-J16)</f>
        <v>14880</v>
      </c>
      <c r="M16" s="9" t="n">
        <f aca="false">L16-H16*K16</f>
        <v>7080</v>
      </c>
      <c r="N16" s="2" t="s">
        <v>34</v>
      </c>
    </row>
    <row r="17" customFormat="false" ht="15" hidden="false" customHeight="false" outlineLevel="0" collapsed="false">
      <c r="A17" s="2" t="s">
        <v>74</v>
      </c>
      <c r="B17" s="5" t="n">
        <v>45957</v>
      </c>
      <c r="C17" s="2" t="s">
        <v>43</v>
      </c>
      <c r="D17" s="2" t="s">
        <v>44</v>
      </c>
      <c r="E17" s="2" t="s">
        <v>49</v>
      </c>
      <c r="F17" s="2" t="s">
        <v>75</v>
      </c>
      <c r="G17" s="2" t="s">
        <v>33</v>
      </c>
      <c r="H17" s="6" t="n">
        <v>2</v>
      </c>
      <c r="I17" s="7" t="n">
        <v>12000</v>
      </c>
      <c r="J17" s="8" t="n">
        <v>0.15</v>
      </c>
      <c r="K17" s="7" t="n">
        <v>5000</v>
      </c>
      <c r="L17" s="9" t="n">
        <f aca="false">H17*I17*(1-J17)</f>
        <v>20400</v>
      </c>
      <c r="M17" s="9" t="n">
        <f aca="false">L17-H17*K17</f>
        <v>10400</v>
      </c>
      <c r="N17" s="2" t="s">
        <v>34</v>
      </c>
    </row>
    <row r="18" customFormat="false" ht="15" hidden="false" customHeight="false" outlineLevel="0" collapsed="false">
      <c r="A18" s="2" t="s">
        <v>76</v>
      </c>
      <c r="B18" s="5" t="n">
        <v>45958</v>
      </c>
      <c r="C18" s="2" t="s">
        <v>36</v>
      </c>
      <c r="D18" s="2" t="s">
        <v>62</v>
      </c>
      <c r="E18" s="2" t="s">
        <v>60</v>
      </c>
      <c r="F18" s="2" t="s">
        <v>50</v>
      </c>
      <c r="G18" s="2" t="s">
        <v>40</v>
      </c>
      <c r="H18" s="6" t="n">
        <v>15</v>
      </c>
      <c r="I18" s="7" t="n">
        <v>1450</v>
      </c>
      <c r="J18" s="8" t="n">
        <v>0.05</v>
      </c>
      <c r="K18" s="7" t="n">
        <v>1050</v>
      </c>
      <c r="L18" s="9" t="n">
        <f aca="false">H18*I18*(1-J18)</f>
        <v>20662.5</v>
      </c>
      <c r="M18" s="9" t="n">
        <f aca="false">L18-H18*K18</f>
        <v>4912.5</v>
      </c>
      <c r="N18" s="2" t="s">
        <v>34</v>
      </c>
    </row>
    <row r="19" customFormat="false" ht="15" hidden="false" customHeight="false" outlineLevel="0" collapsed="false">
      <c r="A19" s="2" t="s">
        <v>77</v>
      </c>
      <c r="B19" s="5" t="n">
        <v>45959</v>
      </c>
      <c r="C19" s="2" t="s">
        <v>29</v>
      </c>
      <c r="D19" s="2" t="s">
        <v>48</v>
      </c>
      <c r="E19" s="2" t="s">
        <v>38</v>
      </c>
      <c r="F19" s="2" t="s">
        <v>46</v>
      </c>
      <c r="G19" s="2" t="s">
        <v>40</v>
      </c>
      <c r="H19" s="6" t="n">
        <v>25</v>
      </c>
      <c r="I19" s="7" t="n">
        <v>320</v>
      </c>
      <c r="J19" s="8" t="n">
        <v>0</v>
      </c>
      <c r="K19" s="7" t="n">
        <v>240</v>
      </c>
      <c r="L19" s="9" t="n">
        <f aca="false">H19*I19*(1-J19)</f>
        <v>8000</v>
      </c>
      <c r="M19" s="9" t="n">
        <f aca="false">L19-H19*K19</f>
        <v>2000</v>
      </c>
      <c r="N19" s="2" t="s">
        <v>34</v>
      </c>
    </row>
    <row r="20" customFormat="false" ht="15" hidden="false" customHeight="false" outlineLevel="0" collapsed="false">
      <c r="A20" s="2" t="s">
        <v>78</v>
      </c>
      <c r="B20" s="5" t="n">
        <v>45961</v>
      </c>
      <c r="C20" s="2" t="s">
        <v>36</v>
      </c>
      <c r="D20" s="2" t="s">
        <v>62</v>
      </c>
      <c r="E20" s="2" t="s">
        <v>79</v>
      </c>
      <c r="F20" s="2" t="s">
        <v>80</v>
      </c>
      <c r="G20" s="2" t="s">
        <v>40</v>
      </c>
      <c r="H20" s="6" t="n">
        <v>4</v>
      </c>
      <c r="I20" s="7" t="n">
        <v>9800</v>
      </c>
      <c r="J20" s="8" t="n">
        <v>0</v>
      </c>
      <c r="K20" s="7" t="n">
        <v>7200</v>
      </c>
      <c r="L20" s="9" t="n">
        <f aca="false">H20*I20*(1-J20)</f>
        <v>39200</v>
      </c>
      <c r="M20" s="9" t="n">
        <f aca="false">L20-H20*K20</f>
        <v>10400</v>
      </c>
      <c r="N20" s="2" t="s">
        <v>34</v>
      </c>
    </row>
    <row r="21" customFormat="false" ht="15" hidden="false" customHeight="false" outlineLevel="0" collapsed="false">
      <c r="A21" s="2" t="s">
        <v>81</v>
      </c>
      <c r="B21" s="5" t="n">
        <v>45962</v>
      </c>
      <c r="C21" s="2" t="s">
        <v>29</v>
      </c>
      <c r="D21" s="2" t="s">
        <v>48</v>
      </c>
      <c r="E21" s="2" t="s">
        <v>82</v>
      </c>
      <c r="F21" s="2" t="s">
        <v>73</v>
      </c>
      <c r="G21" s="2" t="s">
        <v>33</v>
      </c>
      <c r="H21" s="6" t="n">
        <v>3</v>
      </c>
      <c r="I21" s="7" t="n">
        <v>6200</v>
      </c>
      <c r="J21" s="8" t="n">
        <v>0.1</v>
      </c>
      <c r="K21" s="7" t="n">
        <v>2600</v>
      </c>
      <c r="L21" s="9" t="n">
        <f aca="false">H21*I21*(1-J21)</f>
        <v>16740</v>
      </c>
      <c r="M21" s="9" t="n">
        <f aca="false">L21-H21*K21</f>
        <v>8940</v>
      </c>
      <c r="N21" s="2" t="s">
        <v>34</v>
      </c>
    </row>
    <row r="22" customFormat="false" ht="15" hidden="false" customHeight="false" outlineLevel="0" collapsed="false">
      <c r="A22" s="2" t="s">
        <v>83</v>
      </c>
      <c r="B22" s="5" t="n">
        <v>45962</v>
      </c>
      <c r="C22" s="2" t="s">
        <v>36</v>
      </c>
      <c r="D22" s="2" t="s">
        <v>62</v>
      </c>
      <c r="E22" s="2" t="s">
        <v>84</v>
      </c>
      <c r="F22" s="2" t="s">
        <v>85</v>
      </c>
      <c r="G22" s="2" t="s">
        <v>33</v>
      </c>
      <c r="H22" s="6" t="n">
        <v>4</v>
      </c>
      <c r="I22" s="7" t="n">
        <v>2400</v>
      </c>
      <c r="J22" s="8" t="n">
        <v>0.05</v>
      </c>
      <c r="K22" s="7" t="n">
        <v>900</v>
      </c>
      <c r="L22" s="9" t="n">
        <f aca="false">H22*I22*(1-J22)</f>
        <v>9120</v>
      </c>
      <c r="M22" s="9" t="n">
        <f aca="false">L22-H22*K22</f>
        <v>5520</v>
      </c>
      <c r="N22" s="2" t="s">
        <v>34</v>
      </c>
    </row>
    <row r="23" customFormat="false" ht="15" hidden="false" customHeight="false" outlineLevel="0" collapsed="false">
      <c r="A23" s="2" t="s">
        <v>86</v>
      </c>
      <c r="B23" s="5" t="n">
        <v>45962</v>
      </c>
      <c r="C23" s="2" t="s">
        <v>52</v>
      </c>
      <c r="D23" s="2" t="s">
        <v>72</v>
      </c>
      <c r="E23" s="2" t="s">
        <v>45</v>
      </c>
      <c r="F23" s="2" t="s">
        <v>50</v>
      </c>
      <c r="G23" s="2" t="s">
        <v>40</v>
      </c>
      <c r="H23" s="6" t="n">
        <v>10</v>
      </c>
      <c r="I23" s="7" t="n">
        <v>1450</v>
      </c>
      <c r="J23" s="8" t="n">
        <v>0</v>
      </c>
      <c r="K23" s="7" t="n">
        <v>1050</v>
      </c>
      <c r="L23" s="9" t="n">
        <f aca="false">H23*I23*(1-J23)</f>
        <v>14500</v>
      </c>
      <c r="M23" s="9" t="n">
        <f aca="false">L23-H23*K23</f>
        <v>4000</v>
      </c>
      <c r="N23" s="2" t="s">
        <v>34</v>
      </c>
    </row>
    <row r="24" customFormat="false" ht="15" hidden="false" customHeight="false" outlineLevel="0" collapsed="false">
      <c r="A24" s="2" t="s">
        <v>87</v>
      </c>
      <c r="B24" s="5" t="n">
        <v>45964</v>
      </c>
      <c r="C24" s="2" t="s">
        <v>43</v>
      </c>
      <c r="D24" s="2" t="s">
        <v>44</v>
      </c>
      <c r="E24" s="2" t="s">
        <v>79</v>
      </c>
      <c r="F24" s="2" t="s">
        <v>88</v>
      </c>
      <c r="G24" s="2" t="s">
        <v>69</v>
      </c>
      <c r="H24" s="6" t="n">
        <v>10</v>
      </c>
      <c r="I24" s="7" t="n">
        <v>1800</v>
      </c>
      <c r="J24" s="8" t="n">
        <v>0.1</v>
      </c>
      <c r="K24" s="7" t="n">
        <v>1000</v>
      </c>
      <c r="L24" s="9" t="n">
        <f aca="false">H24*I24*(1-J24)</f>
        <v>16200</v>
      </c>
      <c r="M24" s="9" t="n">
        <f aca="false">L24-H24*K24</f>
        <v>6200</v>
      </c>
      <c r="N24" s="2" t="s">
        <v>34</v>
      </c>
    </row>
    <row r="25" customFormat="false" ht="15" hidden="false" customHeight="false" outlineLevel="0" collapsed="false">
      <c r="A25" s="2" t="s">
        <v>89</v>
      </c>
      <c r="B25" s="5" t="n">
        <v>45965</v>
      </c>
      <c r="C25" s="2" t="s">
        <v>36</v>
      </c>
      <c r="D25" s="2" t="s">
        <v>62</v>
      </c>
      <c r="E25" s="2" t="s">
        <v>82</v>
      </c>
      <c r="F25" s="2" t="s">
        <v>85</v>
      </c>
      <c r="G25" s="2" t="s">
        <v>33</v>
      </c>
      <c r="H25" s="6" t="n">
        <v>3</v>
      </c>
      <c r="I25" s="7" t="n">
        <v>2400</v>
      </c>
      <c r="J25" s="8" t="n">
        <v>0.15</v>
      </c>
      <c r="K25" s="7" t="n">
        <v>900</v>
      </c>
      <c r="L25" s="9" t="n">
        <f aca="false">H25*I25*(1-J25)</f>
        <v>6120</v>
      </c>
      <c r="M25" s="9" t="n">
        <f aca="false">L25-H25*K25</f>
        <v>3420</v>
      </c>
      <c r="N25" s="2" t="s">
        <v>34</v>
      </c>
    </row>
    <row r="26" customFormat="false" ht="15" hidden="false" customHeight="false" outlineLevel="0" collapsed="false">
      <c r="A26" s="2" t="s">
        <v>90</v>
      </c>
      <c r="B26" s="5" t="n">
        <v>45966</v>
      </c>
      <c r="C26" s="2" t="s">
        <v>43</v>
      </c>
      <c r="D26" s="2" t="s">
        <v>91</v>
      </c>
      <c r="E26" s="2" t="s">
        <v>45</v>
      </c>
      <c r="F26" s="2" t="s">
        <v>39</v>
      </c>
      <c r="G26" s="2" t="s">
        <v>40</v>
      </c>
      <c r="H26" s="6" t="n">
        <v>5</v>
      </c>
      <c r="I26" s="7" t="n">
        <v>1900</v>
      </c>
      <c r="J26" s="8" t="n">
        <v>0.2</v>
      </c>
      <c r="K26" s="7" t="n">
        <v>1650</v>
      </c>
      <c r="L26" s="9" t="n">
        <f aca="false">H26*I26*(1-J26)</f>
        <v>7600</v>
      </c>
      <c r="M26" s="9" t="n">
        <f aca="false">L26-H26*K26</f>
        <v>-650</v>
      </c>
      <c r="N26" s="2" t="s">
        <v>34</v>
      </c>
    </row>
    <row r="27" customFormat="false" ht="15" hidden="false" customHeight="false" outlineLevel="0" collapsed="false">
      <c r="A27" s="2" t="s">
        <v>92</v>
      </c>
      <c r="B27" s="5" t="n">
        <v>45968</v>
      </c>
      <c r="C27" s="2" t="s">
        <v>29</v>
      </c>
      <c r="D27" s="2" t="s">
        <v>48</v>
      </c>
      <c r="E27" s="2" t="s">
        <v>82</v>
      </c>
      <c r="F27" s="2" t="s">
        <v>80</v>
      </c>
      <c r="G27" s="2" t="s">
        <v>40</v>
      </c>
      <c r="H27" s="6" t="n">
        <v>3</v>
      </c>
      <c r="I27" s="7" t="n">
        <v>9800</v>
      </c>
      <c r="J27" s="8" t="n">
        <v>0.05</v>
      </c>
      <c r="K27" s="7" t="n">
        <v>7200</v>
      </c>
      <c r="L27" s="9" t="n">
        <f aca="false">H27*I27*(1-J27)</f>
        <v>27930</v>
      </c>
      <c r="M27" s="9" t="n">
        <f aca="false">L27-H27*K27</f>
        <v>6330</v>
      </c>
      <c r="N27" s="2" t="s">
        <v>64</v>
      </c>
    </row>
    <row r="28" customFormat="false" ht="15" hidden="false" customHeight="false" outlineLevel="0" collapsed="false">
      <c r="A28" s="2" t="s">
        <v>93</v>
      </c>
      <c r="B28" s="5" t="n">
        <v>45968</v>
      </c>
      <c r="C28" s="2" t="s">
        <v>29</v>
      </c>
      <c r="D28" s="2" t="s">
        <v>30</v>
      </c>
      <c r="E28" s="2" t="s">
        <v>38</v>
      </c>
      <c r="F28" s="2" t="s">
        <v>50</v>
      </c>
      <c r="G28" s="2" t="s">
        <v>40</v>
      </c>
      <c r="H28" s="6" t="n">
        <v>5</v>
      </c>
      <c r="I28" s="7" t="n">
        <v>1450</v>
      </c>
      <c r="J28" s="8" t="n">
        <v>0.05</v>
      </c>
      <c r="K28" s="7" t="n">
        <v>1050</v>
      </c>
      <c r="L28" s="9" t="n">
        <f aca="false">H28*I28*(1-J28)</f>
        <v>6887.5</v>
      </c>
      <c r="M28" s="9" t="n">
        <f aca="false">L28-H28*K28</f>
        <v>1637.5</v>
      </c>
      <c r="N28" s="2" t="s">
        <v>34</v>
      </c>
    </row>
    <row r="29" customFormat="false" ht="15" hidden="false" customHeight="false" outlineLevel="0" collapsed="false">
      <c r="A29" s="2" t="s">
        <v>94</v>
      </c>
      <c r="B29" s="5" t="n">
        <v>45969</v>
      </c>
      <c r="C29" s="2" t="s">
        <v>43</v>
      </c>
      <c r="D29" s="2" t="s">
        <v>91</v>
      </c>
      <c r="E29" s="2" t="s">
        <v>60</v>
      </c>
      <c r="F29" s="2" t="s">
        <v>80</v>
      </c>
      <c r="G29" s="2" t="s">
        <v>40</v>
      </c>
      <c r="H29" s="6" t="n">
        <v>3</v>
      </c>
      <c r="I29" s="7" t="n">
        <v>9800</v>
      </c>
      <c r="J29" s="8" t="n">
        <v>0.05</v>
      </c>
      <c r="K29" s="7" t="n">
        <v>7200</v>
      </c>
      <c r="L29" s="9" t="n">
        <f aca="false">H29*I29*(1-J29)</f>
        <v>27930</v>
      </c>
      <c r="M29" s="9" t="n">
        <f aca="false">L29-H29*K29</f>
        <v>6330</v>
      </c>
      <c r="N29" s="2" t="s">
        <v>34</v>
      </c>
    </row>
    <row r="30" customFormat="false" ht="15" hidden="false" customHeight="false" outlineLevel="0" collapsed="false">
      <c r="A30" s="2" t="s">
        <v>95</v>
      </c>
      <c r="B30" s="5" t="n">
        <v>45970</v>
      </c>
      <c r="C30" s="2" t="s">
        <v>29</v>
      </c>
      <c r="D30" s="2" t="s">
        <v>48</v>
      </c>
      <c r="E30" s="2" t="s">
        <v>45</v>
      </c>
      <c r="F30" s="2" t="s">
        <v>50</v>
      </c>
      <c r="G30" s="2" t="s">
        <v>40</v>
      </c>
      <c r="H30" s="6" t="n">
        <v>1</v>
      </c>
      <c r="I30" s="7" t="n">
        <v>1450</v>
      </c>
      <c r="J30" s="8" t="n">
        <v>0.05</v>
      </c>
      <c r="K30" s="7" t="n">
        <v>1050</v>
      </c>
      <c r="L30" s="9" t="n">
        <f aca="false">H30*I30*(1-J30)</f>
        <v>1377.5</v>
      </c>
      <c r="M30" s="9" t="n">
        <f aca="false">L30-H30*K30</f>
        <v>327.5</v>
      </c>
      <c r="N30" s="2" t="s">
        <v>34</v>
      </c>
    </row>
    <row r="31" customFormat="false" ht="15" hidden="false" customHeight="false" outlineLevel="0" collapsed="false">
      <c r="A31" s="2" t="s">
        <v>96</v>
      </c>
      <c r="B31" s="5" t="n">
        <v>45971</v>
      </c>
      <c r="C31" s="2" t="s">
        <v>43</v>
      </c>
      <c r="D31" s="2" t="s">
        <v>44</v>
      </c>
      <c r="E31" s="2" t="s">
        <v>45</v>
      </c>
      <c r="F31" s="2" t="s">
        <v>80</v>
      </c>
      <c r="G31" s="2" t="s">
        <v>40</v>
      </c>
      <c r="H31" s="6" t="n">
        <v>2</v>
      </c>
      <c r="I31" s="7" t="n">
        <v>9800</v>
      </c>
      <c r="J31" s="8" t="n">
        <v>0</v>
      </c>
      <c r="K31" s="7" t="n">
        <v>7200</v>
      </c>
      <c r="L31" s="9" t="n">
        <f aca="false">H31*I31*(1-J31)</f>
        <v>19600</v>
      </c>
      <c r="M31" s="9" t="n">
        <f aca="false">L31-H31*K31</f>
        <v>5200</v>
      </c>
      <c r="N31" s="2" t="s">
        <v>34</v>
      </c>
    </row>
    <row r="32" customFormat="false" ht="15" hidden="false" customHeight="false" outlineLevel="0" collapsed="false">
      <c r="A32" s="2" t="s">
        <v>97</v>
      </c>
      <c r="B32" s="5" t="n">
        <v>45971</v>
      </c>
      <c r="C32" s="2" t="s">
        <v>52</v>
      </c>
      <c r="D32" s="2" t="s">
        <v>72</v>
      </c>
      <c r="E32" s="2" t="s">
        <v>31</v>
      </c>
      <c r="F32" s="2" t="s">
        <v>98</v>
      </c>
      <c r="G32" s="2" t="s">
        <v>69</v>
      </c>
      <c r="H32" s="6" t="n">
        <v>8</v>
      </c>
      <c r="I32" s="7" t="n">
        <v>3500</v>
      </c>
      <c r="J32" s="8" t="n">
        <v>0.05</v>
      </c>
      <c r="K32" s="7" t="n">
        <v>1400</v>
      </c>
      <c r="L32" s="9" t="n">
        <f aca="false">H32*I32*(1-J32)</f>
        <v>26600</v>
      </c>
      <c r="M32" s="9" t="n">
        <f aca="false">L32-H32*K32</f>
        <v>15400</v>
      </c>
      <c r="N32" s="2" t="s">
        <v>64</v>
      </c>
    </row>
    <row r="33" customFormat="false" ht="15" hidden="false" customHeight="false" outlineLevel="0" collapsed="false">
      <c r="A33" s="2" t="s">
        <v>99</v>
      </c>
      <c r="B33" s="5" t="n">
        <v>45972</v>
      </c>
      <c r="C33" s="2" t="s">
        <v>36</v>
      </c>
      <c r="D33" s="2" t="s">
        <v>62</v>
      </c>
      <c r="E33" s="2" t="s">
        <v>66</v>
      </c>
      <c r="F33" s="2" t="s">
        <v>80</v>
      </c>
      <c r="G33" s="2" t="s">
        <v>40</v>
      </c>
      <c r="H33" s="6" t="n">
        <v>3</v>
      </c>
      <c r="I33" s="7" t="n">
        <v>9800</v>
      </c>
      <c r="J33" s="8" t="n">
        <v>0</v>
      </c>
      <c r="K33" s="7" t="n">
        <v>7200</v>
      </c>
      <c r="L33" s="9" t="n">
        <f aca="false">H33*I33*(1-J33)</f>
        <v>29400</v>
      </c>
      <c r="M33" s="9" t="n">
        <f aca="false">L33-H33*K33</f>
        <v>7800</v>
      </c>
      <c r="N33" s="2" t="s">
        <v>34</v>
      </c>
    </row>
    <row r="34" customFormat="false" ht="15" hidden="false" customHeight="false" outlineLevel="0" collapsed="false">
      <c r="A34" s="2" t="s">
        <v>100</v>
      </c>
      <c r="B34" s="5" t="n">
        <v>45973</v>
      </c>
      <c r="C34" s="2" t="s">
        <v>52</v>
      </c>
      <c r="D34" s="2" t="s">
        <v>72</v>
      </c>
      <c r="E34" s="2" t="s">
        <v>31</v>
      </c>
      <c r="F34" s="2" t="s">
        <v>50</v>
      </c>
      <c r="G34" s="2" t="s">
        <v>40</v>
      </c>
      <c r="H34" s="6" t="n">
        <v>15</v>
      </c>
      <c r="I34" s="7" t="n">
        <v>1450</v>
      </c>
      <c r="J34" s="8" t="n">
        <v>0.1</v>
      </c>
      <c r="K34" s="7" t="n">
        <v>1050</v>
      </c>
      <c r="L34" s="9" t="n">
        <f aca="false">H34*I34*(1-J34)</f>
        <v>19575</v>
      </c>
      <c r="M34" s="9" t="n">
        <f aca="false">L34-H34*K34</f>
        <v>3825</v>
      </c>
      <c r="N34" s="2" t="s">
        <v>34</v>
      </c>
    </row>
    <row r="35" customFormat="false" ht="15" hidden="false" customHeight="false" outlineLevel="0" collapsed="false">
      <c r="A35" s="2" t="s">
        <v>101</v>
      </c>
      <c r="B35" s="5" t="n">
        <v>45973</v>
      </c>
      <c r="C35" s="2" t="s">
        <v>29</v>
      </c>
      <c r="D35" s="2" t="s">
        <v>48</v>
      </c>
      <c r="E35" s="2" t="s">
        <v>79</v>
      </c>
      <c r="F35" s="2" t="s">
        <v>46</v>
      </c>
      <c r="G35" s="2" t="s">
        <v>40</v>
      </c>
      <c r="H35" s="6" t="n">
        <v>10</v>
      </c>
      <c r="I35" s="7" t="n">
        <v>320</v>
      </c>
      <c r="J35" s="8" t="n">
        <v>0.2</v>
      </c>
      <c r="K35" s="7" t="n">
        <v>240</v>
      </c>
      <c r="L35" s="9" t="n">
        <f aca="false">H35*I35*(1-J35)</f>
        <v>2560</v>
      </c>
      <c r="M35" s="9" t="n">
        <f aca="false">L35-H35*K35</f>
        <v>160</v>
      </c>
      <c r="N35" s="2" t="s">
        <v>34</v>
      </c>
    </row>
    <row r="36" customFormat="false" ht="15" hidden="false" customHeight="false" outlineLevel="0" collapsed="false">
      <c r="A36" s="2" t="s">
        <v>102</v>
      </c>
      <c r="B36" s="5" t="n">
        <v>45976</v>
      </c>
      <c r="C36" s="2" t="s">
        <v>29</v>
      </c>
      <c r="D36" s="2" t="s">
        <v>48</v>
      </c>
      <c r="E36" s="2" t="s">
        <v>63</v>
      </c>
      <c r="F36" s="2" t="s">
        <v>85</v>
      </c>
      <c r="G36" s="2" t="s">
        <v>33</v>
      </c>
      <c r="H36" s="6" t="n">
        <v>8</v>
      </c>
      <c r="I36" s="7" t="n">
        <v>2400</v>
      </c>
      <c r="J36" s="8" t="n">
        <v>0.2</v>
      </c>
      <c r="K36" s="7" t="n">
        <v>900</v>
      </c>
      <c r="L36" s="9" t="n">
        <f aca="false">H36*I36*(1-J36)</f>
        <v>15360</v>
      </c>
      <c r="M36" s="9" t="n">
        <f aca="false">L36-H36*K36</f>
        <v>8160</v>
      </c>
      <c r="N36" s="2" t="s">
        <v>34</v>
      </c>
    </row>
    <row r="37" customFormat="false" ht="15" hidden="false" customHeight="false" outlineLevel="0" collapsed="false">
      <c r="A37" s="2" t="s">
        <v>103</v>
      </c>
      <c r="B37" s="5" t="n">
        <v>45977</v>
      </c>
      <c r="C37" s="2" t="s">
        <v>36</v>
      </c>
      <c r="D37" s="2" t="s">
        <v>37</v>
      </c>
      <c r="E37" s="2" t="s">
        <v>66</v>
      </c>
      <c r="F37" s="2" t="s">
        <v>85</v>
      </c>
      <c r="G37" s="2" t="s">
        <v>33</v>
      </c>
      <c r="H37" s="6" t="n">
        <v>7</v>
      </c>
      <c r="I37" s="7" t="n">
        <v>2400</v>
      </c>
      <c r="J37" s="8" t="n">
        <v>0.15</v>
      </c>
      <c r="K37" s="7" t="n">
        <v>900</v>
      </c>
      <c r="L37" s="9" t="n">
        <f aca="false">H37*I37*(1-J37)</f>
        <v>14280</v>
      </c>
      <c r="M37" s="9" t="n">
        <f aca="false">L37-H37*K37</f>
        <v>7980</v>
      </c>
      <c r="N37" s="2" t="s">
        <v>34</v>
      </c>
    </row>
    <row r="38" customFormat="false" ht="15" hidden="false" customHeight="false" outlineLevel="0" collapsed="false">
      <c r="A38" s="2" t="s">
        <v>104</v>
      </c>
      <c r="B38" s="5" t="n">
        <v>45977</v>
      </c>
      <c r="C38" s="2" t="s">
        <v>43</v>
      </c>
      <c r="D38" s="2" t="s">
        <v>44</v>
      </c>
      <c r="E38" s="2" t="s">
        <v>49</v>
      </c>
      <c r="F38" s="2" t="s">
        <v>39</v>
      </c>
      <c r="G38" s="2" t="s">
        <v>40</v>
      </c>
      <c r="H38" s="6" t="n">
        <v>1</v>
      </c>
      <c r="I38" s="7" t="n">
        <v>1900</v>
      </c>
      <c r="J38" s="8" t="n">
        <v>0.25</v>
      </c>
      <c r="K38" s="7" t="n">
        <v>1650</v>
      </c>
      <c r="L38" s="9" t="n">
        <f aca="false">H38*I38*(1-J38)</f>
        <v>1425</v>
      </c>
      <c r="M38" s="9" t="n">
        <f aca="false">L38-H38*K38</f>
        <v>-225</v>
      </c>
      <c r="N38" s="2" t="s">
        <v>34</v>
      </c>
    </row>
    <row r="39" customFormat="false" ht="15" hidden="false" customHeight="false" outlineLevel="0" collapsed="false">
      <c r="A39" s="2" t="s">
        <v>105</v>
      </c>
      <c r="B39" s="5" t="n">
        <v>45978</v>
      </c>
      <c r="C39" s="2" t="s">
        <v>52</v>
      </c>
      <c r="D39" s="2" t="s">
        <v>72</v>
      </c>
      <c r="E39" s="2" t="s">
        <v>106</v>
      </c>
      <c r="F39" s="2" t="s">
        <v>46</v>
      </c>
      <c r="G39" s="2" t="s">
        <v>40</v>
      </c>
      <c r="H39" s="6" t="n">
        <v>25</v>
      </c>
      <c r="I39" s="7" t="n">
        <v>320</v>
      </c>
      <c r="J39" s="8" t="n">
        <v>0.2</v>
      </c>
      <c r="K39" s="7" t="n">
        <v>240</v>
      </c>
      <c r="L39" s="9" t="n">
        <f aca="false">H39*I39*(1-J39)</f>
        <v>6400</v>
      </c>
      <c r="M39" s="9" t="n">
        <f aca="false">L39-H39*K39</f>
        <v>400</v>
      </c>
      <c r="N39" s="2" t="s">
        <v>34</v>
      </c>
    </row>
    <row r="40" customFormat="false" ht="15" hidden="false" customHeight="false" outlineLevel="0" collapsed="false">
      <c r="A40" s="2" t="s">
        <v>107</v>
      </c>
      <c r="B40" s="5" t="n">
        <v>45979</v>
      </c>
      <c r="C40" s="2" t="s">
        <v>36</v>
      </c>
      <c r="D40" s="2" t="s">
        <v>37</v>
      </c>
      <c r="E40" s="2" t="s">
        <v>54</v>
      </c>
      <c r="F40" s="2" t="s">
        <v>73</v>
      </c>
      <c r="G40" s="2" t="s">
        <v>33</v>
      </c>
      <c r="H40" s="6" t="n">
        <v>4</v>
      </c>
      <c r="I40" s="7" t="n">
        <v>6200</v>
      </c>
      <c r="J40" s="8" t="n">
        <v>0.05</v>
      </c>
      <c r="K40" s="7" t="n">
        <v>2600</v>
      </c>
      <c r="L40" s="9" t="n">
        <f aca="false">H40*I40*(1-J40)</f>
        <v>23560</v>
      </c>
      <c r="M40" s="9" t="n">
        <f aca="false">L40-H40*K40</f>
        <v>13160</v>
      </c>
      <c r="N40" s="2" t="s">
        <v>34</v>
      </c>
    </row>
    <row r="41" customFormat="false" ht="15" hidden="false" customHeight="false" outlineLevel="0" collapsed="false">
      <c r="A41" s="2" t="s">
        <v>108</v>
      </c>
      <c r="B41" s="5" t="n">
        <v>45979</v>
      </c>
      <c r="C41" s="2" t="s">
        <v>29</v>
      </c>
      <c r="D41" s="2" t="s">
        <v>30</v>
      </c>
      <c r="E41" s="2" t="s">
        <v>109</v>
      </c>
      <c r="F41" s="2" t="s">
        <v>50</v>
      </c>
      <c r="G41" s="2" t="s">
        <v>40</v>
      </c>
      <c r="H41" s="6" t="n">
        <v>10</v>
      </c>
      <c r="I41" s="7" t="n">
        <v>1450</v>
      </c>
      <c r="J41" s="8" t="n">
        <v>0</v>
      </c>
      <c r="K41" s="7" t="n">
        <v>1050</v>
      </c>
      <c r="L41" s="9" t="n">
        <f aca="false">H41*I41*(1-J41)</f>
        <v>14500</v>
      </c>
      <c r="M41" s="9" t="n">
        <f aca="false">L41-H41*K41</f>
        <v>4000</v>
      </c>
      <c r="N41" s="2" t="s">
        <v>34</v>
      </c>
    </row>
    <row r="42" customFormat="false" ht="15" hidden="false" customHeight="false" outlineLevel="0" collapsed="false">
      <c r="A42" s="2" t="s">
        <v>110</v>
      </c>
      <c r="B42" s="5" t="n">
        <v>45982</v>
      </c>
      <c r="C42" s="2" t="s">
        <v>43</v>
      </c>
      <c r="D42" s="2" t="s">
        <v>44</v>
      </c>
      <c r="E42" s="2" t="s">
        <v>54</v>
      </c>
      <c r="F42" s="2" t="s">
        <v>73</v>
      </c>
      <c r="G42" s="2" t="s">
        <v>33</v>
      </c>
      <c r="H42" s="6" t="n">
        <v>1</v>
      </c>
      <c r="I42" s="7" t="n">
        <v>6200</v>
      </c>
      <c r="J42" s="8" t="n">
        <v>0.2</v>
      </c>
      <c r="K42" s="7" t="n">
        <v>2600</v>
      </c>
      <c r="L42" s="9" t="n">
        <f aca="false">H42*I42*(1-J42)</f>
        <v>4960</v>
      </c>
      <c r="M42" s="9" t="n">
        <f aca="false">L42-H42*K42</f>
        <v>2360</v>
      </c>
      <c r="N42" s="2" t="s">
        <v>34</v>
      </c>
    </row>
    <row r="43" customFormat="false" ht="15" hidden="false" customHeight="false" outlineLevel="0" collapsed="false">
      <c r="A43" s="2" t="s">
        <v>111</v>
      </c>
      <c r="B43" s="5" t="n">
        <v>45983</v>
      </c>
      <c r="C43" s="2" t="s">
        <v>43</v>
      </c>
      <c r="D43" s="2" t="s">
        <v>44</v>
      </c>
      <c r="E43" s="2" t="s">
        <v>31</v>
      </c>
      <c r="F43" s="2" t="s">
        <v>88</v>
      </c>
      <c r="G43" s="2" t="s">
        <v>69</v>
      </c>
      <c r="H43" s="6" t="n">
        <v>5</v>
      </c>
      <c r="I43" s="7" t="n">
        <v>1800</v>
      </c>
      <c r="J43" s="8" t="n">
        <v>0</v>
      </c>
      <c r="K43" s="7" t="n">
        <v>1000</v>
      </c>
      <c r="L43" s="9" t="n">
        <f aca="false">H43*I43*(1-J43)</f>
        <v>9000</v>
      </c>
      <c r="M43" s="9" t="n">
        <f aca="false">L43-H43*K43</f>
        <v>4000</v>
      </c>
      <c r="N43" s="2" t="s">
        <v>34</v>
      </c>
    </row>
    <row r="44" customFormat="false" ht="15" hidden="false" customHeight="false" outlineLevel="0" collapsed="false">
      <c r="A44" s="2" t="s">
        <v>112</v>
      </c>
      <c r="B44" s="5" t="n">
        <v>45985</v>
      </c>
      <c r="C44" s="2" t="s">
        <v>36</v>
      </c>
      <c r="D44" s="2" t="s">
        <v>37</v>
      </c>
      <c r="E44" s="2" t="s">
        <v>45</v>
      </c>
      <c r="F44" s="2" t="s">
        <v>98</v>
      </c>
      <c r="G44" s="2" t="s">
        <v>69</v>
      </c>
      <c r="H44" s="6" t="n">
        <v>4</v>
      </c>
      <c r="I44" s="7" t="n">
        <v>3500</v>
      </c>
      <c r="J44" s="8" t="n">
        <v>0.05</v>
      </c>
      <c r="K44" s="7" t="n">
        <v>1400</v>
      </c>
      <c r="L44" s="9" t="n">
        <f aca="false">H44*I44*(1-J44)</f>
        <v>13300</v>
      </c>
      <c r="M44" s="9" t="n">
        <f aca="false">L44-H44*K44</f>
        <v>7700</v>
      </c>
      <c r="N44" s="2" t="s">
        <v>34</v>
      </c>
    </row>
    <row r="45" customFormat="false" ht="15" hidden="false" customHeight="false" outlineLevel="0" collapsed="false">
      <c r="A45" s="2" t="s">
        <v>113</v>
      </c>
      <c r="B45" s="5" t="n">
        <v>45987</v>
      </c>
      <c r="C45" s="2" t="s">
        <v>52</v>
      </c>
      <c r="D45" s="2" t="s">
        <v>72</v>
      </c>
      <c r="E45" s="2" t="s">
        <v>38</v>
      </c>
      <c r="F45" s="2" t="s">
        <v>50</v>
      </c>
      <c r="G45" s="2" t="s">
        <v>40</v>
      </c>
      <c r="H45" s="6" t="n">
        <v>2</v>
      </c>
      <c r="I45" s="7" t="n">
        <v>1450</v>
      </c>
      <c r="J45" s="8" t="n">
        <v>0.2</v>
      </c>
      <c r="K45" s="7" t="n">
        <v>1050</v>
      </c>
      <c r="L45" s="9" t="n">
        <f aca="false">H45*I45*(1-J45)</f>
        <v>2320</v>
      </c>
      <c r="M45" s="9" t="n">
        <f aca="false">L45-H45*K45</f>
        <v>220</v>
      </c>
      <c r="N45" s="2" t="s">
        <v>34</v>
      </c>
    </row>
    <row r="46" customFormat="false" ht="15" hidden="false" customHeight="false" outlineLevel="0" collapsed="false">
      <c r="A46" s="2" t="s">
        <v>114</v>
      </c>
      <c r="B46" s="5" t="n">
        <v>45987</v>
      </c>
      <c r="C46" s="2" t="s">
        <v>36</v>
      </c>
      <c r="D46" s="2" t="s">
        <v>37</v>
      </c>
      <c r="E46" s="2" t="s">
        <v>84</v>
      </c>
      <c r="F46" s="2" t="s">
        <v>85</v>
      </c>
      <c r="G46" s="2" t="s">
        <v>33</v>
      </c>
      <c r="H46" s="6" t="n">
        <v>2</v>
      </c>
      <c r="I46" s="7" t="n">
        <v>2400</v>
      </c>
      <c r="J46" s="8" t="n">
        <v>0.05</v>
      </c>
      <c r="K46" s="7" t="n">
        <v>900</v>
      </c>
      <c r="L46" s="9" t="n">
        <f aca="false">H46*I46*(1-J46)</f>
        <v>4560</v>
      </c>
      <c r="M46" s="9" t="n">
        <f aca="false">L46-H46*K46</f>
        <v>2760</v>
      </c>
      <c r="N46" s="2" t="s">
        <v>34</v>
      </c>
    </row>
    <row r="47" customFormat="false" ht="15" hidden="false" customHeight="false" outlineLevel="0" collapsed="false">
      <c r="A47" s="2" t="s">
        <v>115</v>
      </c>
      <c r="B47" s="5" t="n">
        <v>45990</v>
      </c>
      <c r="C47" s="2" t="s">
        <v>36</v>
      </c>
      <c r="D47" s="2" t="s">
        <v>62</v>
      </c>
      <c r="E47" s="2" t="s">
        <v>79</v>
      </c>
      <c r="F47" s="2" t="s">
        <v>32</v>
      </c>
      <c r="G47" s="2" t="s">
        <v>33</v>
      </c>
      <c r="H47" s="6" t="n">
        <v>1</v>
      </c>
      <c r="I47" s="7" t="n">
        <v>8500</v>
      </c>
      <c r="J47" s="8" t="n">
        <v>0.05</v>
      </c>
      <c r="K47" s="7" t="n">
        <v>3200</v>
      </c>
      <c r="L47" s="9" t="n">
        <f aca="false">H47*I47*(1-J47)</f>
        <v>8075</v>
      </c>
      <c r="M47" s="9" t="n">
        <f aca="false">L47-H47*K47</f>
        <v>4875</v>
      </c>
      <c r="N47" s="2" t="s">
        <v>34</v>
      </c>
    </row>
    <row r="48" customFormat="false" ht="15" hidden="false" customHeight="false" outlineLevel="0" collapsed="false">
      <c r="A48" s="2" t="s">
        <v>116</v>
      </c>
      <c r="B48" s="5" t="n">
        <v>45990</v>
      </c>
      <c r="C48" s="2" t="s">
        <v>36</v>
      </c>
      <c r="D48" s="2" t="s">
        <v>37</v>
      </c>
      <c r="E48" s="2" t="s">
        <v>82</v>
      </c>
      <c r="F48" s="2" t="s">
        <v>50</v>
      </c>
      <c r="G48" s="2" t="s">
        <v>40</v>
      </c>
      <c r="H48" s="6" t="n">
        <v>3</v>
      </c>
      <c r="I48" s="7" t="n">
        <v>1450</v>
      </c>
      <c r="J48" s="8" t="n">
        <v>0.05</v>
      </c>
      <c r="K48" s="7" t="n">
        <v>1050</v>
      </c>
      <c r="L48" s="9" t="n">
        <f aca="false">H48*I48*(1-J48)</f>
        <v>4132.5</v>
      </c>
      <c r="M48" s="9" t="n">
        <f aca="false">L48-H48*K48</f>
        <v>982.5</v>
      </c>
      <c r="N48" s="2" t="s">
        <v>34</v>
      </c>
    </row>
    <row r="49" customFormat="false" ht="15" hidden="false" customHeight="false" outlineLevel="0" collapsed="false">
      <c r="A49" s="2" t="s">
        <v>117</v>
      </c>
      <c r="B49" s="5" t="n">
        <v>45991</v>
      </c>
      <c r="C49" s="2" t="s">
        <v>43</v>
      </c>
      <c r="D49" s="2" t="s">
        <v>44</v>
      </c>
      <c r="E49" s="2" t="s">
        <v>45</v>
      </c>
      <c r="F49" s="2" t="s">
        <v>85</v>
      </c>
      <c r="G49" s="2" t="s">
        <v>33</v>
      </c>
      <c r="H49" s="6" t="n">
        <v>5</v>
      </c>
      <c r="I49" s="7" t="n">
        <v>2400</v>
      </c>
      <c r="J49" s="8" t="n">
        <v>0</v>
      </c>
      <c r="K49" s="7" t="n">
        <v>900</v>
      </c>
      <c r="L49" s="9" t="n">
        <f aca="false">H49*I49*(1-J49)</f>
        <v>12000</v>
      </c>
      <c r="M49" s="9" t="n">
        <f aca="false">L49-H49*K49</f>
        <v>7500</v>
      </c>
      <c r="N49" s="2" t="s">
        <v>34</v>
      </c>
    </row>
    <row r="50" customFormat="false" ht="15" hidden="false" customHeight="false" outlineLevel="0" collapsed="false">
      <c r="A50" s="2" t="s">
        <v>118</v>
      </c>
      <c r="B50" s="5" t="n">
        <v>45991</v>
      </c>
      <c r="C50" s="2" t="s">
        <v>29</v>
      </c>
      <c r="D50" s="2" t="s">
        <v>30</v>
      </c>
      <c r="E50" s="2" t="s">
        <v>84</v>
      </c>
      <c r="F50" s="2" t="s">
        <v>32</v>
      </c>
      <c r="G50" s="2" t="s">
        <v>33</v>
      </c>
      <c r="H50" s="6" t="n">
        <v>2</v>
      </c>
      <c r="I50" s="7" t="n">
        <v>8500</v>
      </c>
      <c r="J50" s="8" t="n">
        <v>0.15</v>
      </c>
      <c r="K50" s="7" t="n">
        <v>3200</v>
      </c>
      <c r="L50" s="9" t="n">
        <f aca="false">H50*I50*(1-J50)</f>
        <v>14450</v>
      </c>
      <c r="M50" s="9" t="n">
        <f aca="false">L50-H50*K50</f>
        <v>8050</v>
      </c>
      <c r="N50" s="2" t="s">
        <v>34</v>
      </c>
    </row>
    <row r="51" customFormat="false" ht="15" hidden="false" customHeight="false" outlineLevel="0" collapsed="false">
      <c r="A51" s="2" t="s">
        <v>119</v>
      </c>
      <c r="B51" s="5" t="n">
        <v>45993</v>
      </c>
      <c r="C51" s="2" t="s">
        <v>43</v>
      </c>
      <c r="D51" s="2" t="s">
        <v>91</v>
      </c>
      <c r="E51" s="2" t="s">
        <v>120</v>
      </c>
      <c r="F51" s="2" t="s">
        <v>68</v>
      </c>
      <c r="G51" s="2" t="s">
        <v>69</v>
      </c>
      <c r="H51" s="6" t="n">
        <v>8</v>
      </c>
      <c r="I51" s="7" t="n">
        <v>600</v>
      </c>
      <c r="J51" s="8" t="n">
        <v>0.3</v>
      </c>
      <c r="K51" s="7" t="n">
        <v>520</v>
      </c>
      <c r="L51" s="9" t="n">
        <f aca="false">H51*I51*(1-J51)</f>
        <v>3360</v>
      </c>
      <c r="M51" s="9" t="n">
        <f aca="false">L51-H51*K51</f>
        <v>-800</v>
      </c>
      <c r="N51" s="2" t="s">
        <v>34</v>
      </c>
    </row>
    <row r="52" customFormat="false" ht="15" hidden="false" customHeight="false" outlineLevel="0" collapsed="false">
      <c r="A52" s="2" t="s">
        <v>121</v>
      </c>
      <c r="B52" s="5" t="n">
        <v>45995</v>
      </c>
      <c r="C52" s="2" t="s">
        <v>52</v>
      </c>
      <c r="D52" s="2" t="s">
        <v>53</v>
      </c>
      <c r="E52" s="2" t="s">
        <v>31</v>
      </c>
      <c r="F52" s="2" t="s">
        <v>68</v>
      </c>
      <c r="G52" s="2" t="s">
        <v>69</v>
      </c>
      <c r="H52" s="6" t="n">
        <v>3</v>
      </c>
      <c r="I52" s="7" t="n">
        <v>600</v>
      </c>
      <c r="J52" s="8" t="n">
        <v>0.3</v>
      </c>
      <c r="K52" s="7" t="n">
        <v>520</v>
      </c>
      <c r="L52" s="9" t="n">
        <f aca="false">H52*I52*(1-J52)</f>
        <v>1260</v>
      </c>
      <c r="M52" s="9" t="n">
        <f aca="false">L52-H52*K52</f>
        <v>-300</v>
      </c>
      <c r="N52" s="2" t="s">
        <v>34</v>
      </c>
    </row>
    <row r="53" customFormat="false" ht="15" hidden="false" customHeight="false" outlineLevel="0" collapsed="false">
      <c r="A53" s="2" t="s">
        <v>122</v>
      </c>
      <c r="B53" s="5" t="n">
        <v>45995</v>
      </c>
      <c r="C53" s="2" t="s">
        <v>52</v>
      </c>
      <c r="D53" s="2" t="s">
        <v>72</v>
      </c>
      <c r="E53" s="2" t="s">
        <v>49</v>
      </c>
      <c r="F53" s="2" t="s">
        <v>73</v>
      </c>
      <c r="G53" s="2" t="s">
        <v>33</v>
      </c>
      <c r="H53" s="6" t="n">
        <v>2</v>
      </c>
      <c r="I53" s="7" t="n">
        <v>6200</v>
      </c>
      <c r="J53" s="8" t="n">
        <v>0.05</v>
      </c>
      <c r="K53" s="7" t="n">
        <v>2600</v>
      </c>
      <c r="L53" s="9" t="n">
        <f aca="false">H53*I53*(1-J53)</f>
        <v>11780</v>
      </c>
      <c r="M53" s="9" t="n">
        <f aca="false">L53-H53*K53</f>
        <v>6580</v>
      </c>
      <c r="N53" s="2" t="s">
        <v>34</v>
      </c>
    </row>
    <row r="54" customFormat="false" ht="15" hidden="false" customHeight="false" outlineLevel="0" collapsed="false">
      <c r="A54" s="2" t="s">
        <v>123</v>
      </c>
      <c r="B54" s="5" t="n">
        <v>45996</v>
      </c>
      <c r="C54" s="2" t="s">
        <v>43</v>
      </c>
      <c r="D54" s="2" t="s">
        <v>91</v>
      </c>
      <c r="E54" s="2" t="s">
        <v>109</v>
      </c>
      <c r="F54" s="2" t="s">
        <v>46</v>
      </c>
      <c r="G54" s="2" t="s">
        <v>40</v>
      </c>
      <c r="H54" s="6" t="n">
        <v>2</v>
      </c>
      <c r="I54" s="7" t="n">
        <v>320</v>
      </c>
      <c r="J54" s="8" t="n">
        <v>0.2</v>
      </c>
      <c r="K54" s="7" t="n">
        <v>240</v>
      </c>
      <c r="L54" s="9" t="n">
        <f aca="false">H54*I54*(1-J54)</f>
        <v>512</v>
      </c>
      <c r="M54" s="9" t="n">
        <f aca="false">L54-H54*K54</f>
        <v>32</v>
      </c>
      <c r="N54" s="2" t="s">
        <v>34</v>
      </c>
    </row>
    <row r="55" customFormat="false" ht="15" hidden="false" customHeight="false" outlineLevel="0" collapsed="false">
      <c r="A55" s="2" t="s">
        <v>124</v>
      </c>
      <c r="B55" s="5" t="n">
        <v>45998</v>
      </c>
      <c r="C55" s="2" t="s">
        <v>52</v>
      </c>
      <c r="D55" s="2" t="s">
        <v>72</v>
      </c>
      <c r="E55" s="2" t="s">
        <v>45</v>
      </c>
      <c r="F55" s="2" t="s">
        <v>50</v>
      </c>
      <c r="G55" s="2" t="s">
        <v>40</v>
      </c>
      <c r="H55" s="6" t="n">
        <v>3</v>
      </c>
      <c r="I55" s="7" t="n">
        <v>1450</v>
      </c>
      <c r="J55" s="8" t="n">
        <v>0</v>
      </c>
      <c r="K55" s="7" t="n">
        <v>1050</v>
      </c>
      <c r="L55" s="9" t="n">
        <f aca="false">H55*I55*(1-J55)</f>
        <v>4350</v>
      </c>
      <c r="M55" s="9" t="n">
        <f aca="false">L55-H55*K55</f>
        <v>1200</v>
      </c>
      <c r="N55" s="2" t="s">
        <v>64</v>
      </c>
    </row>
    <row r="56" customFormat="false" ht="15" hidden="false" customHeight="false" outlineLevel="0" collapsed="false">
      <c r="A56" s="2" t="s">
        <v>125</v>
      </c>
      <c r="B56" s="5" t="n">
        <v>45999</v>
      </c>
      <c r="C56" s="2" t="s">
        <v>52</v>
      </c>
      <c r="D56" s="2" t="s">
        <v>72</v>
      </c>
      <c r="E56" s="2" t="s">
        <v>49</v>
      </c>
      <c r="F56" s="2" t="s">
        <v>98</v>
      </c>
      <c r="G56" s="2" t="s">
        <v>69</v>
      </c>
      <c r="H56" s="6" t="n">
        <v>5</v>
      </c>
      <c r="I56" s="7" t="n">
        <v>3500</v>
      </c>
      <c r="J56" s="8" t="n">
        <v>0.15</v>
      </c>
      <c r="K56" s="7" t="n">
        <v>1400</v>
      </c>
      <c r="L56" s="9" t="n">
        <f aca="false">H56*I56*(1-J56)</f>
        <v>14875</v>
      </c>
      <c r="M56" s="9" t="n">
        <f aca="false">L56-H56*K56</f>
        <v>7875</v>
      </c>
      <c r="N56" s="2" t="s">
        <v>34</v>
      </c>
    </row>
    <row r="57" customFormat="false" ht="15" hidden="false" customHeight="false" outlineLevel="0" collapsed="false">
      <c r="A57" s="2" t="s">
        <v>126</v>
      </c>
      <c r="B57" s="5" t="n">
        <v>45999</v>
      </c>
      <c r="C57" s="2" t="s">
        <v>29</v>
      </c>
      <c r="D57" s="2" t="s">
        <v>30</v>
      </c>
      <c r="E57" s="2" t="s">
        <v>31</v>
      </c>
      <c r="F57" s="2" t="s">
        <v>46</v>
      </c>
      <c r="G57" s="2" t="s">
        <v>40</v>
      </c>
      <c r="H57" s="6" t="n">
        <v>2</v>
      </c>
      <c r="I57" s="7" t="n">
        <v>320</v>
      </c>
      <c r="J57" s="8" t="n">
        <v>0.2</v>
      </c>
      <c r="K57" s="7" t="n">
        <v>240</v>
      </c>
      <c r="L57" s="9" t="n">
        <f aca="false">H57*I57*(1-J57)</f>
        <v>512</v>
      </c>
      <c r="M57" s="9" t="n">
        <f aca="false">L57-H57*K57</f>
        <v>32</v>
      </c>
      <c r="N57" s="2" t="s">
        <v>34</v>
      </c>
    </row>
    <row r="58" customFormat="false" ht="15" hidden="false" customHeight="false" outlineLevel="0" collapsed="false">
      <c r="A58" s="2" t="s">
        <v>127</v>
      </c>
      <c r="B58" s="5" t="n">
        <v>46001</v>
      </c>
      <c r="C58" s="2" t="s">
        <v>43</v>
      </c>
      <c r="D58" s="2" t="s">
        <v>44</v>
      </c>
      <c r="E58" s="2" t="s">
        <v>49</v>
      </c>
      <c r="F58" s="2" t="s">
        <v>88</v>
      </c>
      <c r="G58" s="2" t="s">
        <v>69</v>
      </c>
      <c r="H58" s="6" t="n">
        <v>10</v>
      </c>
      <c r="I58" s="7" t="n">
        <v>1800</v>
      </c>
      <c r="J58" s="8" t="n">
        <v>0.2</v>
      </c>
      <c r="K58" s="7" t="n">
        <v>1000</v>
      </c>
      <c r="L58" s="9" t="n">
        <f aca="false">H58*I58*(1-J58)</f>
        <v>14400</v>
      </c>
      <c r="M58" s="9" t="n">
        <f aca="false">L58-H58*K58</f>
        <v>4400</v>
      </c>
      <c r="N58" s="2" t="s">
        <v>64</v>
      </c>
    </row>
    <row r="59" customFormat="false" ht="15" hidden="false" customHeight="false" outlineLevel="0" collapsed="false">
      <c r="A59" s="2" t="s">
        <v>128</v>
      </c>
      <c r="B59" s="5" t="n">
        <v>46002</v>
      </c>
      <c r="C59" s="2" t="s">
        <v>43</v>
      </c>
      <c r="D59" s="2" t="s">
        <v>44</v>
      </c>
      <c r="E59" s="2" t="s">
        <v>60</v>
      </c>
      <c r="F59" s="2" t="s">
        <v>73</v>
      </c>
      <c r="G59" s="2" t="s">
        <v>33</v>
      </c>
      <c r="H59" s="6" t="n">
        <v>2</v>
      </c>
      <c r="I59" s="7" t="n">
        <v>6200</v>
      </c>
      <c r="J59" s="8" t="n">
        <v>0</v>
      </c>
      <c r="K59" s="7" t="n">
        <v>2600</v>
      </c>
      <c r="L59" s="9" t="n">
        <f aca="false">H59*I59*(1-J59)</f>
        <v>12400</v>
      </c>
      <c r="M59" s="9" t="n">
        <f aca="false">L59-H59*K59</f>
        <v>7200</v>
      </c>
      <c r="N59" s="2" t="s">
        <v>34</v>
      </c>
    </row>
    <row r="60" customFormat="false" ht="15" hidden="false" customHeight="false" outlineLevel="0" collapsed="false">
      <c r="A60" s="2" t="s">
        <v>129</v>
      </c>
      <c r="B60" s="5" t="n">
        <v>46004</v>
      </c>
      <c r="C60" s="2" t="s">
        <v>36</v>
      </c>
      <c r="D60" s="2" t="s">
        <v>62</v>
      </c>
      <c r="E60" s="2" t="s">
        <v>49</v>
      </c>
      <c r="F60" s="2" t="s">
        <v>46</v>
      </c>
      <c r="G60" s="2" t="s">
        <v>40</v>
      </c>
      <c r="H60" s="6" t="n">
        <v>15</v>
      </c>
      <c r="I60" s="7" t="n">
        <v>320</v>
      </c>
      <c r="J60" s="8" t="n">
        <v>0.15</v>
      </c>
      <c r="K60" s="7" t="n">
        <v>240</v>
      </c>
      <c r="L60" s="9" t="n">
        <f aca="false">H60*I60*(1-J60)</f>
        <v>4080</v>
      </c>
      <c r="M60" s="9" t="n">
        <f aca="false">L60-H60*K60</f>
        <v>480</v>
      </c>
      <c r="N60" s="2" t="s">
        <v>34</v>
      </c>
    </row>
    <row r="61" customFormat="false" ht="15" hidden="false" customHeight="false" outlineLevel="0" collapsed="false">
      <c r="A61" s="2" t="s">
        <v>130</v>
      </c>
      <c r="B61" s="5" t="n">
        <v>46005</v>
      </c>
      <c r="C61" s="2" t="s">
        <v>52</v>
      </c>
      <c r="D61" s="2" t="s">
        <v>72</v>
      </c>
      <c r="E61" s="2" t="s">
        <v>45</v>
      </c>
      <c r="F61" s="2" t="s">
        <v>46</v>
      </c>
      <c r="G61" s="2" t="s">
        <v>40</v>
      </c>
      <c r="H61" s="6" t="n">
        <v>3</v>
      </c>
      <c r="I61" s="7" t="n">
        <v>320</v>
      </c>
      <c r="J61" s="8" t="n">
        <v>0</v>
      </c>
      <c r="K61" s="7" t="n">
        <v>240</v>
      </c>
      <c r="L61" s="9" t="n">
        <f aca="false">H61*I61*(1-J61)</f>
        <v>960</v>
      </c>
      <c r="M61" s="9" t="n">
        <f aca="false">L61-H61*K61</f>
        <v>240</v>
      </c>
      <c r="N61" s="2" t="s">
        <v>34</v>
      </c>
    </row>
    <row r="62" customFormat="false" ht="15" hidden="false" customHeight="false" outlineLevel="0" collapsed="false">
      <c r="A62" s="2" t="s">
        <v>131</v>
      </c>
      <c r="B62" s="5" t="n">
        <v>46006</v>
      </c>
      <c r="C62" s="2" t="s">
        <v>43</v>
      </c>
      <c r="D62" s="2" t="s">
        <v>91</v>
      </c>
      <c r="E62" s="2" t="s">
        <v>57</v>
      </c>
      <c r="F62" s="2" t="s">
        <v>46</v>
      </c>
      <c r="G62" s="2" t="s">
        <v>40</v>
      </c>
      <c r="H62" s="6" t="n">
        <v>20</v>
      </c>
      <c r="I62" s="7" t="n">
        <v>320</v>
      </c>
      <c r="J62" s="8" t="n">
        <v>0.05</v>
      </c>
      <c r="K62" s="7" t="n">
        <v>240</v>
      </c>
      <c r="L62" s="9" t="n">
        <f aca="false">H62*I62*(1-J62)</f>
        <v>6080</v>
      </c>
      <c r="M62" s="9" t="n">
        <f aca="false">L62-H62*K62</f>
        <v>1280</v>
      </c>
      <c r="N62" s="2" t="s">
        <v>34</v>
      </c>
    </row>
    <row r="63" customFormat="false" ht="15" hidden="false" customHeight="false" outlineLevel="0" collapsed="false">
      <c r="A63" s="2" t="s">
        <v>132</v>
      </c>
      <c r="B63" s="5" t="n">
        <v>46007</v>
      </c>
      <c r="C63" s="2" t="s">
        <v>36</v>
      </c>
      <c r="D63" s="2" t="s">
        <v>62</v>
      </c>
      <c r="E63" s="2" t="s">
        <v>66</v>
      </c>
      <c r="F63" s="2" t="s">
        <v>46</v>
      </c>
      <c r="G63" s="2" t="s">
        <v>40</v>
      </c>
      <c r="H63" s="6" t="n">
        <v>20</v>
      </c>
      <c r="I63" s="7" t="n">
        <v>320</v>
      </c>
      <c r="J63" s="8" t="n">
        <v>0.1</v>
      </c>
      <c r="K63" s="7" t="n">
        <v>240</v>
      </c>
      <c r="L63" s="9" t="n">
        <f aca="false">H63*I63*(1-J63)</f>
        <v>5760</v>
      </c>
      <c r="M63" s="9" t="n">
        <f aca="false">L63-H63*K63</f>
        <v>960</v>
      </c>
      <c r="N63" s="2" t="s">
        <v>34</v>
      </c>
    </row>
    <row r="64" customFormat="false" ht="15" hidden="false" customHeight="false" outlineLevel="0" collapsed="false">
      <c r="A64" s="2" t="s">
        <v>133</v>
      </c>
      <c r="B64" s="5" t="n">
        <v>46008</v>
      </c>
      <c r="C64" s="2" t="s">
        <v>29</v>
      </c>
      <c r="D64" s="2" t="s">
        <v>30</v>
      </c>
      <c r="E64" s="2" t="s">
        <v>120</v>
      </c>
      <c r="F64" s="2" t="s">
        <v>88</v>
      </c>
      <c r="G64" s="2" t="s">
        <v>69</v>
      </c>
      <c r="H64" s="6" t="n">
        <v>10</v>
      </c>
      <c r="I64" s="7" t="n">
        <v>1800</v>
      </c>
      <c r="J64" s="8" t="n">
        <v>0.2</v>
      </c>
      <c r="K64" s="7" t="n">
        <v>1000</v>
      </c>
      <c r="L64" s="9" t="n">
        <f aca="false">H64*I64*(1-J64)</f>
        <v>14400</v>
      </c>
      <c r="M64" s="9" t="n">
        <f aca="false">L64-H64*K64</f>
        <v>4400</v>
      </c>
      <c r="N64" s="2" t="s">
        <v>34</v>
      </c>
    </row>
    <row r="65" customFormat="false" ht="15" hidden="false" customHeight="false" outlineLevel="0" collapsed="false">
      <c r="A65" s="2" t="s">
        <v>134</v>
      </c>
      <c r="B65" s="5" t="n">
        <v>46009</v>
      </c>
      <c r="C65" s="2" t="s">
        <v>36</v>
      </c>
      <c r="D65" s="2" t="s">
        <v>37</v>
      </c>
      <c r="E65" s="2" t="s">
        <v>79</v>
      </c>
      <c r="F65" s="2" t="s">
        <v>46</v>
      </c>
      <c r="G65" s="2" t="s">
        <v>40</v>
      </c>
      <c r="H65" s="6" t="n">
        <v>5</v>
      </c>
      <c r="I65" s="7" t="n">
        <v>320</v>
      </c>
      <c r="J65" s="8" t="n">
        <v>0</v>
      </c>
      <c r="K65" s="7" t="n">
        <v>240</v>
      </c>
      <c r="L65" s="9" t="n">
        <f aca="false">H65*I65*(1-J65)</f>
        <v>1600</v>
      </c>
      <c r="M65" s="9" t="n">
        <f aca="false">L65-H65*K65</f>
        <v>400</v>
      </c>
      <c r="N65" s="2" t="s">
        <v>34</v>
      </c>
    </row>
    <row r="66" customFormat="false" ht="15" hidden="false" customHeight="false" outlineLevel="0" collapsed="false">
      <c r="A66" s="2" t="s">
        <v>135</v>
      </c>
      <c r="B66" s="5" t="n">
        <v>46011</v>
      </c>
      <c r="C66" s="2" t="s">
        <v>36</v>
      </c>
      <c r="D66" s="2" t="s">
        <v>37</v>
      </c>
      <c r="E66" s="2" t="s">
        <v>84</v>
      </c>
      <c r="F66" s="2" t="s">
        <v>46</v>
      </c>
      <c r="G66" s="2" t="s">
        <v>40</v>
      </c>
      <c r="H66" s="6" t="n">
        <v>2</v>
      </c>
      <c r="I66" s="7" t="n">
        <v>320</v>
      </c>
      <c r="J66" s="8" t="n">
        <v>0.05</v>
      </c>
      <c r="K66" s="7" t="n">
        <v>240</v>
      </c>
      <c r="L66" s="9" t="n">
        <f aca="false">H66*I66*(1-J66)</f>
        <v>608</v>
      </c>
      <c r="M66" s="9" t="n">
        <f aca="false">L66-H66*K66</f>
        <v>128</v>
      </c>
      <c r="N66" s="2" t="s">
        <v>34</v>
      </c>
    </row>
    <row r="67" customFormat="false" ht="15" hidden="false" customHeight="false" outlineLevel="0" collapsed="false">
      <c r="A67" s="2" t="s">
        <v>136</v>
      </c>
      <c r="B67" s="5" t="n">
        <v>46011</v>
      </c>
      <c r="C67" s="2" t="s">
        <v>52</v>
      </c>
      <c r="D67" s="2" t="s">
        <v>72</v>
      </c>
      <c r="E67" s="2" t="s">
        <v>106</v>
      </c>
      <c r="F67" s="2" t="s">
        <v>85</v>
      </c>
      <c r="G67" s="2" t="s">
        <v>33</v>
      </c>
      <c r="H67" s="6" t="n">
        <v>4</v>
      </c>
      <c r="I67" s="7" t="n">
        <v>2400</v>
      </c>
      <c r="J67" s="8" t="n">
        <v>0.05</v>
      </c>
      <c r="K67" s="7" t="n">
        <v>900</v>
      </c>
      <c r="L67" s="9" t="n">
        <f aca="false">H67*I67*(1-J67)</f>
        <v>9120</v>
      </c>
      <c r="M67" s="9" t="n">
        <f aca="false">L67-H67*K67</f>
        <v>5520</v>
      </c>
      <c r="N67" s="2" t="s">
        <v>34</v>
      </c>
    </row>
    <row r="68" customFormat="false" ht="15" hidden="false" customHeight="false" outlineLevel="0" collapsed="false">
      <c r="A68" s="2" t="s">
        <v>137</v>
      </c>
      <c r="B68" s="5" t="n">
        <v>46012</v>
      </c>
      <c r="C68" s="2" t="s">
        <v>52</v>
      </c>
      <c r="D68" s="2" t="s">
        <v>53</v>
      </c>
      <c r="E68" s="2" t="s">
        <v>109</v>
      </c>
      <c r="F68" s="2" t="s">
        <v>50</v>
      </c>
      <c r="G68" s="2" t="s">
        <v>40</v>
      </c>
      <c r="H68" s="6" t="n">
        <v>8</v>
      </c>
      <c r="I68" s="7" t="n">
        <v>1450</v>
      </c>
      <c r="J68" s="8" t="n">
        <v>0.2</v>
      </c>
      <c r="K68" s="7" t="n">
        <v>1050</v>
      </c>
      <c r="L68" s="9" t="n">
        <f aca="false">H68*I68*(1-J68)</f>
        <v>9280</v>
      </c>
      <c r="M68" s="9" t="n">
        <f aca="false">L68-H68*K68</f>
        <v>880</v>
      </c>
      <c r="N68" s="2" t="s">
        <v>34</v>
      </c>
    </row>
    <row r="69" customFormat="false" ht="15" hidden="false" customHeight="false" outlineLevel="0" collapsed="false">
      <c r="A69" s="2" t="s">
        <v>138</v>
      </c>
      <c r="B69" s="5" t="n">
        <v>46012</v>
      </c>
      <c r="C69" s="2" t="s">
        <v>36</v>
      </c>
      <c r="D69" s="2" t="s">
        <v>37</v>
      </c>
      <c r="E69" s="2" t="s">
        <v>120</v>
      </c>
      <c r="F69" s="2" t="s">
        <v>98</v>
      </c>
      <c r="G69" s="2" t="s">
        <v>69</v>
      </c>
      <c r="H69" s="6" t="n">
        <v>7</v>
      </c>
      <c r="I69" s="7" t="n">
        <v>3500</v>
      </c>
      <c r="J69" s="8" t="n">
        <v>0.2</v>
      </c>
      <c r="K69" s="7" t="n">
        <v>1400</v>
      </c>
      <c r="L69" s="9" t="n">
        <f aca="false">H69*I69*(1-J69)</f>
        <v>19600</v>
      </c>
      <c r="M69" s="9" t="n">
        <f aca="false">L69-H69*K69</f>
        <v>9800</v>
      </c>
      <c r="N69" s="2" t="s">
        <v>34</v>
      </c>
    </row>
    <row r="70" customFormat="false" ht="15" hidden="false" customHeight="false" outlineLevel="0" collapsed="false">
      <c r="A70" s="2" t="s">
        <v>139</v>
      </c>
      <c r="B70" s="5" t="n">
        <v>46013</v>
      </c>
      <c r="C70" s="2" t="s">
        <v>43</v>
      </c>
      <c r="D70" s="2" t="s">
        <v>91</v>
      </c>
      <c r="E70" s="2" t="s">
        <v>66</v>
      </c>
      <c r="F70" s="2" t="s">
        <v>32</v>
      </c>
      <c r="G70" s="2" t="s">
        <v>33</v>
      </c>
      <c r="H70" s="6" t="n">
        <v>2</v>
      </c>
      <c r="I70" s="7" t="n">
        <v>8500</v>
      </c>
      <c r="J70" s="8" t="n">
        <v>0.05</v>
      </c>
      <c r="K70" s="7" t="n">
        <v>3200</v>
      </c>
      <c r="L70" s="9" t="n">
        <f aca="false">H70*I70*(1-J70)</f>
        <v>16150</v>
      </c>
      <c r="M70" s="9" t="n">
        <f aca="false">L70-H70*K70</f>
        <v>9750</v>
      </c>
      <c r="N70" s="2" t="s">
        <v>34</v>
      </c>
    </row>
    <row r="71" customFormat="false" ht="15" hidden="false" customHeight="false" outlineLevel="0" collapsed="false">
      <c r="A71" s="2" t="s">
        <v>140</v>
      </c>
      <c r="B71" s="5" t="n">
        <v>46014</v>
      </c>
      <c r="C71" s="2" t="s">
        <v>43</v>
      </c>
      <c r="D71" s="2" t="s">
        <v>44</v>
      </c>
      <c r="E71" s="2" t="s">
        <v>57</v>
      </c>
      <c r="F71" s="2" t="s">
        <v>46</v>
      </c>
      <c r="G71" s="2" t="s">
        <v>40</v>
      </c>
      <c r="H71" s="6" t="n">
        <v>25</v>
      </c>
      <c r="I71" s="7" t="n">
        <v>320</v>
      </c>
      <c r="J71" s="8" t="n">
        <v>0.15</v>
      </c>
      <c r="K71" s="7" t="n">
        <v>240</v>
      </c>
      <c r="L71" s="9" t="n">
        <f aca="false">H71*I71*(1-J71)</f>
        <v>6800</v>
      </c>
      <c r="M71" s="9" t="n">
        <f aca="false">L71-H71*K71</f>
        <v>800</v>
      </c>
      <c r="N71" s="2" t="s">
        <v>34</v>
      </c>
    </row>
    <row r="72" customFormat="false" ht="15" hidden="false" customHeight="false" outlineLevel="0" collapsed="false">
      <c r="A72" s="2" t="s">
        <v>141</v>
      </c>
      <c r="B72" s="5" t="n">
        <v>46015</v>
      </c>
      <c r="C72" s="2" t="s">
        <v>36</v>
      </c>
      <c r="D72" s="2" t="s">
        <v>62</v>
      </c>
      <c r="E72" s="2" t="s">
        <v>45</v>
      </c>
      <c r="F72" s="2" t="s">
        <v>75</v>
      </c>
      <c r="G72" s="2" t="s">
        <v>33</v>
      </c>
      <c r="H72" s="6" t="n">
        <v>3</v>
      </c>
      <c r="I72" s="7" t="n">
        <v>12000</v>
      </c>
      <c r="J72" s="8" t="n">
        <v>0.15</v>
      </c>
      <c r="K72" s="7" t="n">
        <v>5000</v>
      </c>
      <c r="L72" s="9" t="n">
        <f aca="false">H72*I72*(1-J72)</f>
        <v>30600</v>
      </c>
      <c r="M72" s="9" t="n">
        <f aca="false">L72-H72*K72</f>
        <v>15600</v>
      </c>
      <c r="N72" s="2" t="s">
        <v>34</v>
      </c>
    </row>
    <row r="73" customFormat="false" ht="15" hidden="false" customHeight="false" outlineLevel="0" collapsed="false">
      <c r="A73" s="2" t="s">
        <v>142</v>
      </c>
      <c r="B73" s="5" t="n">
        <v>46016</v>
      </c>
      <c r="C73" s="2" t="s">
        <v>36</v>
      </c>
      <c r="D73" s="2" t="s">
        <v>37</v>
      </c>
      <c r="E73" s="2" t="s">
        <v>120</v>
      </c>
      <c r="F73" s="2" t="s">
        <v>73</v>
      </c>
      <c r="G73" s="2" t="s">
        <v>33</v>
      </c>
      <c r="H73" s="6" t="n">
        <v>4</v>
      </c>
      <c r="I73" s="7" t="n">
        <v>6200</v>
      </c>
      <c r="J73" s="8" t="n">
        <v>0.1</v>
      </c>
      <c r="K73" s="7" t="n">
        <v>2600</v>
      </c>
      <c r="L73" s="9" t="n">
        <f aca="false">H73*I73*(1-J73)</f>
        <v>22320</v>
      </c>
      <c r="M73" s="9" t="n">
        <f aca="false">L73-H73*K73</f>
        <v>11920</v>
      </c>
      <c r="N73" s="2" t="s">
        <v>34</v>
      </c>
    </row>
    <row r="74" customFormat="false" ht="15" hidden="false" customHeight="false" outlineLevel="0" collapsed="false">
      <c r="A74" s="2" t="s">
        <v>143</v>
      </c>
      <c r="B74" s="5" t="n">
        <v>46018</v>
      </c>
      <c r="C74" s="2" t="s">
        <v>36</v>
      </c>
      <c r="D74" s="2" t="s">
        <v>37</v>
      </c>
      <c r="E74" s="2" t="s">
        <v>106</v>
      </c>
      <c r="F74" s="2" t="s">
        <v>144</v>
      </c>
      <c r="G74" s="2" t="s">
        <v>40</v>
      </c>
      <c r="H74" s="6" t="n">
        <v>5</v>
      </c>
      <c r="I74" s="7" t="n">
        <v>450</v>
      </c>
      <c r="J74" s="8" t="n">
        <v>0.15</v>
      </c>
      <c r="K74" s="7" t="n">
        <v>410</v>
      </c>
      <c r="L74" s="9" t="n">
        <f aca="false">H74*I74*(1-J74)</f>
        <v>1912.5</v>
      </c>
      <c r="M74" s="9" t="n">
        <f aca="false">L74-H74*K74</f>
        <v>-137.5</v>
      </c>
      <c r="N74" s="2" t="s">
        <v>34</v>
      </c>
    </row>
    <row r="75" customFormat="false" ht="15" hidden="false" customHeight="false" outlineLevel="0" collapsed="false">
      <c r="A75" s="2" t="s">
        <v>145</v>
      </c>
      <c r="B75" s="5" t="n">
        <v>46020</v>
      </c>
      <c r="C75" s="2" t="s">
        <v>52</v>
      </c>
      <c r="D75" s="2" t="s">
        <v>53</v>
      </c>
      <c r="E75" s="2" t="s">
        <v>57</v>
      </c>
      <c r="F75" s="2" t="s">
        <v>46</v>
      </c>
      <c r="G75" s="2" t="s">
        <v>40</v>
      </c>
      <c r="H75" s="6" t="n">
        <v>8</v>
      </c>
      <c r="I75" s="7" t="n">
        <v>320</v>
      </c>
      <c r="J75" s="8" t="n">
        <v>0.1</v>
      </c>
      <c r="K75" s="7" t="n">
        <v>240</v>
      </c>
      <c r="L75" s="9" t="n">
        <f aca="false">H75*I75*(1-J75)</f>
        <v>2304</v>
      </c>
      <c r="M75" s="9" t="n">
        <f aca="false">L75-H75*K75</f>
        <v>384</v>
      </c>
      <c r="N75" s="2" t="s">
        <v>34</v>
      </c>
    </row>
    <row r="76" customFormat="false" ht="15" hidden="false" customHeight="false" outlineLevel="0" collapsed="false">
      <c r="A76" s="2" t="s">
        <v>146</v>
      </c>
      <c r="B76" s="5" t="n">
        <v>46020</v>
      </c>
      <c r="C76" s="2" t="s">
        <v>52</v>
      </c>
      <c r="D76" s="2" t="s">
        <v>72</v>
      </c>
      <c r="E76" s="2" t="s">
        <v>57</v>
      </c>
      <c r="F76" s="2" t="s">
        <v>50</v>
      </c>
      <c r="G76" s="2" t="s">
        <v>40</v>
      </c>
      <c r="H76" s="6" t="n">
        <v>25</v>
      </c>
      <c r="I76" s="7" t="n">
        <v>1450</v>
      </c>
      <c r="J76" s="8" t="n">
        <v>0.15</v>
      </c>
      <c r="K76" s="7" t="n">
        <v>1050</v>
      </c>
      <c r="L76" s="9" t="n">
        <f aca="false">H76*I76*(1-J76)</f>
        <v>30812.5</v>
      </c>
      <c r="M76" s="9" t="n">
        <f aca="false">L76-H76*K76</f>
        <v>4562.5</v>
      </c>
      <c r="N76" s="2" t="s">
        <v>34</v>
      </c>
    </row>
    <row r="77" customFormat="false" ht="15" hidden="false" customHeight="false" outlineLevel="0" collapsed="false">
      <c r="A77" s="2" t="s">
        <v>147</v>
      </c>
      <c r="B77" s="5" t="n">
        <v>46022</v>
      </c>
      <c r="C77" s="2" t="s">
        <v>29</v>
      </c>
      <c r="D77" s="2" t="s">
        <v>48</v>
      </c>
      <c r="E77" s="2" t="s">
        <v>109</v>
      </c>
      <c r="F77" s="2" t="s">
        <v>98</v>
      </c>
      <c r="G77" s="2" t="s">
        <v>69</v>
      </c>
      <c r="H77" s="6" t="n">
        <v>5</v>
      </c>
      <c r="I77" s="7" t="n">
        <v>3500</v>
      </c>
      <c r="J77" s="8" t="n">
        <v>0</v>
      </c>
      <c r="K77" s="7" t="n">
        <v>1400</v>
      </c>
      <c r="L77" s="9" t="n">
        <f aca="false">H77*I77*(1-J77)</f>
        <v>17500</v>
      </c>
      <c r="M77" s="9" t="n">
        <f aca="false">L77-H77*K77</f>
        <v>10500</v>
      </c>
      <c r="N77" s="2" t="s">
        <v>34</v>
      </c>
    </row>
    <row r="78" customFormat="false" ht="15" hidden="false" customHeight="false" outlineLevel="0" collapsed="false">
      <c r="A78" s="2" t="s">
        <v>148</v>
      </c>
      <c r="B78" s="5" t="n">
        <v>46026</v>
      </c>
      <c r="C78" s="2" t="s">
        <v>36</v>
      </c>
      <c r="D78" s="2" t="s">
        <v>37</v>
      </c>
      <c r="E78" s="2" t="s">
        <v>57</v>
      </c>
      <c r="F78" s="2" t="s">
        <v>88</v>
      </c>
      <c r="G78" s="2" t="s">
        <v>69</v>
      </c>
      <c r="H78" s="6" t="n">
        <v>15</v>
      </c>
      <c r="I78" s="7" t="n">
        <v>1800</v>
      </c>
      <c r="J78" s="8" t="n">
        <v>0.2</v>
      </c>
      <c r="K78" s="7" t="n">
        <v>1000</v>
      </c>
      <c r="L78" s="9" t="n">
        <f aca="false">H78*I78*(1-J78)</f>
        <v>21600</v>
      </c>
      <c r="M78" s="9" t="n">
        <f aca="false">L78-H78*K78</f>
        <v>6600</v>
      </c>
      <c r="N78" s="2" t="s">
        <v>34</v>
      </c>
    </row>
    <row r="79" customFormat="false" ht="15" hidden="false" customHeight="false" outlineLevel="0" collapsed="false">
      <c r="A79" s="2" t="s">
        <v>149</v>
      </c>
      <c r="B79" s="5" t="n">
        <v>46028</v>
      </c>
      <c r="C79" s="2" t="s">
        <v>52</v>
      </c>
      <c r="D79" s="2" t="s">
        <v>53</v>
      </c>
      <c r="E79" s="2" t="s">
        <v>79</v>
      </c>
      <c r="F79" s="2" t="s">
        <v>98</v>
      </c>
      <c r="G79" s="2" t="s">
        <v>69</v>
      </c>
      <c r="H79" s="6" t="n">
        <v>4</v>
      </c>
      <c r="I79" s="7" t="n">
        <v>3500</v>
      </c>
      <c r="J79" s="8" t="n">
        <v>0</v>
      </c>
      <c r="K79" s="7" t="n">
        <v>1400</v>
      </c>
      <c r="L79" s="9" t="n">
        <f aca="false">H79*I79*(1-J79)</f>
        <v>14000</v>
      </c>
      <c r="M79" s="9" t="n">
        <f aca="false">L79-H79*K79</f>
        <v>8400</v>
      </c>
      <c r="N79" s="2" t="s">
        <v>64</v>
      </c>
    </row>
    <row r="80" customFormat="false" ht="15" hidden="false" customHeight="false" outlineLevel="0" collapsed="false">
      <c r="A80" s="2" t="s">
        <v>150</v>
      </c>
      <c r="B80" s="5" t="n">
        <v>46029</v>
      </c>
      <c r="C80" s="2" t="s">
        <v>43</v>
      </c>
      <c r="D80" s="2" t="s">
        <v>44</v>
      </c>
      <c r="E80" s="2" t="s">
        <v>54</v>
      </c>
      <c r="F80" s="2" t="s">
        <v>80</v>
      </c>
      <c r="G80" s="2" t="s">
        <v>40</v>
      </c>
      <c r="H80" s="6" t="n">
        <v>3</v>
      </c>
      <c r="I80" s="7" t="n">
        <v>9800</v>
      </c>
      <c r="J80" s="8" t="n">
        <v>0.1</v>
      </c>
      <c r="K80" s="7" t="n">
        <v>7200</v>
      </c>
      <c r="L80" s="9" t="n">
        <f aca="false">H80*I80*(1-J80)</f>
        <v>26460</v>
      </c>
      <c r="M80" s="9" t="n">
        <f aca="false">L80-H80*K80</f>
        <v>4860</v>
      </c>
      <c r="N80" s="2" t="s">
        <v>34</v>
      </c>
    </row>
    <row r="81" customFormat="false" ht="15" hidden="false" customHeight="false" outlineLevel="0" collapsed="false">
      <c r="A81" s="2" t="s">
        <v>151</v>
      </c>
      <c r="B81" s="5" t="n">
        <v>46029</v>
      </c>
      <c r="C81" s="2" t="s">
        <v>36</v>
      </c>
      <c r="D81" s="2" t="s">
        <v>62</v>
      </c>
      <c r="E81" s="2" t="s">
        <v>106</v>
      </c>
      <c r="F81" s="2" t="s">
        <v>85</v>
      </c>
      <c r="G81" s="2" t="s">
        <v>33</v>
      </c>
      <c r="H81" s="6" t="n">
        <v>4</v>
      </c>
      <c r="I81" s="7" t="n">
        <v>2400</v>
      </c>
      <c r="J81" s="8" t="n">
        <v>0.05</v>
      </c>
      <c r="K81" s="7" t="n">
        <v>900</v>
      </c>
      <c r="L81" s="9" t="n">
        <f aca="false">H81*I81*(1-J81)</f>
        <v>9120</v>
      </c>
      <c r="M81" s="9" t="n">
        <f aca="false">L81-H81*K81</f>
        <v>5520</v>
      </c>
      <c r="N81" s="2" t="s">
        <v>34</v>
      </c>
    </row>
    <row r="82" customFormat="false" ht="15" hidden="false" customHeight="false" outlineLevel="0" collapsed="false">
      <c r="A82" s="2" t="s">
        <v>152</v>
      </c>
      <c r="B82" s="5" t="n">
        <v>46029</v>
      </c>
      <c r="C82" s="2" t="s">
        <v>29</v>
      </c>
      <c r="D82" s="2" t="s">
        <v>30</v>
      </c>
      <c r="E82" s="2" t="s">
        <v>106</v>
      </c>
      <c r="F82" s="2" t="s">
        <v>88</v>
      </c>
      <c r="G82" s="2" t="s">
        <v>69</v>
      </c>
      <c r="H82" s="6" t="n">
        <v>25</v>
      </c>
      <c r="I82" s="7" t="n">
        <v>1800</v>
      </c>
      <c r="J82" s="8" t="n">
        <v>0.05</v>
      </c>
      <c r="K82" s="7" t="n">
        <v>1000</v>
      </c>
      <c r="L82" s="9" t="n">
        <f aca="false">H82*I82*(1-J82)</f>
        <v>42750</v>
      </c>
      <c r="M82" s="9" t="n">
        <f aca="false">L82-H82*K82</f>
        <v>17750</v>
      </c>
      <c r="N82" s="2" t="s">
        <v>34</v>
      </c>
    </row>
    <row r="83" customFormat="false" ht="15" hidden="false" customHeight="false" outlineLevel="0" collapsed="false">
      <c r="A83" s="2" t="s">
        <v>153</v>
      </c>
      <c r="B83" s="5" t="n">
        <v>46033</v>
      </c>
      <c r="C83" s="2" t="s">
        <v>43</v>
      </c>
      <c r="D83" s="2" t="s">
        <v>91</v>
      </c>
      <c r="E83" s="2" t="s">
        <v>31</v>
      </c>
      <c r="F83" s="2" t="s">
        <v>39</v>
      </c>
      <c r="G83" s="2" t="s">
        <v>40</v>
      </c>
      <c r="H83" s="6" t="n">
        <v>15</v>
      </c>
      <c r="I83" s="7" t="n">
        <v>1900</v>
      </c>
      <c r="J83" s="8" t="n">
        <v>0.3</v>
      </c>
      <c r="K83" s="7" t="n">
        <v>1650</v>
      </c>
      <c r="L83" s="9" t="n">
        <f aca="false">H83*I83*(1-J83)</f>
        <v>19950</v>
      </c>
      <c r="M83" s="9" t="n">
        <f aca="false">L83-H83*K83</f>
        <v>-4800</v>
      </c>
      <c r="N83" s="2" t="s">
        <v>34</v>
      </c>
    </row>
    <row r="84" customFormat="false" ht="15" hidden="false" customHeight="false" outlineLevel="0" collapsed="false">
      <c r="A84" s="2" t="s">
        <v>154</v>
      </c>
      <c r="B84" s="5" t="n">
        <v>46034</v>
      </c>
      <c r="C84" s="2" t="s">
        <v>29</v>
      </c>
      <c r="D84" s="2" t="s">
        <v>48</v>
      </c>
      <c r="E84" s="2" t="s">
        <v>57</v>
      </c>
      <c r="F84" s="2" t="s">
        <v>46</v>
      </c>
      <c r="G84" s="2" t="s">
        <v>40</v>
      </c>
      <c r="H84" s="6" t="n">
        <v>20</v>
      </c>
      <c r="I84" s="7" t="n">
        <v>320</v>
      </c>
      <c r="J84" s="8" t="n">
        <v>0</v>
      </c>
      <c r="K84" s="7" t="n">
        <v>240</v>
      </c>
      <c r="L84" s="9" t="n">
        <f aca="false">H84*I84*(1-J84)</f>
        <v>6400</v>
      </c>
      <c r="M84" s="9" t="n">
        <f aca="false">L84-H84*K84</f>
        <v>1600</v>
      </c>
      <c r="N84" s="2" t="s">
        <v>34</v>
      </c>
    </row>
    <row r="85" customFormat="false" ht="15" hidden="false" customHeight="false" outlineLevel="0" collapsed="false">
      <c r="A85" s="2" t="s">
        <v>155</v>
      </c>
      <c r="B85" s="5" t="n">
        <v>46036</v>
      </c>
      <c r="C85" s="2" t="s">
        <v>52</v>
      </c>
      <c r="D85" s="2" t="s">
        <v>53</v>
      </c>
      <c r="E85" s="2" t="s">
        <v>57</v>
      </c>
      <c r="F85" s="2" t="s">
        <v>73</v>
      </c>
      <c r="G85" s="2" t="s">
        <v>33</v>
      </c>
      <c r="H85" s="6" t="n">
        <v>4</v>
      </c>
      <c r="I85" s="7" t="n">
        <v>6200</v>
      </c>
      <c r="J85" s="8" t="n">
        <v>0.05</v>
      </c>
      <c r="K85" s="7" t="n">
        <v>2600</v>
      </c>
      <c r="L85" s="9" t="n">
        <f aca="false">H85*I85*(1-J85)</f>
        <v>23560</v>
      </c>
      <c r="M85" s="9" t="n">
        <f aca="false">L85-H85*K85</f>
        <v>13160</v>
      </c>
      <c r="N85" s="2" t="s">
        <v>34</v>
      </c>
    </row>
    <row r="86" customFormat="false" ht="15" hidden="false" customHeight="false" outlineLevel="0" collapsed="false">
      <c r="A86" s="2" t="s">
        <v>156</v>
      </c>
      <c r="B86" s="5" t="n">
        <v>46038</v>
      </c>
      <c r="C86" s="2" t="s">
        <v>29</v>
      </c>
      <c r="D86" s="2" t="s">
        <v>48</v>
      </c>
      <c r="E86" s="2" t="s">
        <v>45</v>
      </c>
      <c r="F86" s="2" t="s">
        <v>98</v>
      </c>
      <c r="G86" s="2" t="s">
        <v>69</v>
      </c>
      <c r="H86" s="6" t="n">
        <v>3</v>
      </c>
      <c r="I86" s="7" t="n">
        <v>3500</v>
      </c>
      <c r="J86" s="8" t="n">
        <v>0.05</v>
      </c>
      <c r="K86" s="7" t="n">
        <v>1400</v>
      </c>
      <c r="L86" s="9" t="n">
        <f aca="false">H86*I86*(1-J86)</f>
        <v>9975</v>
      </c>
      <c r="M86" s="9" t="n">
        <f aca="false">L86-H86*K86</f>
        <v>5775</v>
      </c>
      <c r="N86" s="2" t="s">
        <v>34</v>
      </c>
    </row>
    <row r="87" customFormat="false" ht="15" hidden="false" customHeight="false" outlineLevel="0" collapsed="false">
      <c r="A87" s="2" t="s">
        <v>157</v>
      </c>
      <c r="B87" s="5" t="n">
        <v>46039</v>
      </c>
      <c r="C87" s="2" t="s">
        <v>36</v>
      </c>
      <c r="D87" s="2" t="s">
        <v>37</v>
      </c>
      <c r="E87" s="2" t="s">
        <v>66</v>
      </c>
      <c r="F87" s="2" t="s">
        <v>75</v>
      </c>
      <c r="G87" s="2" t="s">
        <v>33</v>
      </c>
      <c r="H87" s="6" t="n">
        <v>3</v>
      </c>
      <c r="I87" s="7" t="n">
        <v>12000</v>
      </c>
      <c r="J87" s="8" t="n">
        <v>0</v>
      </c>
      <c r="K87" s="7" t="n">
        <v>5000</v>
      </c>
      <c r="L87" s="9" t="n">
        <f aca="false">H87*I87*(1-J87)</f>
        <v>36000</v>
      </c>
      <c r="M87" s="9" t="n">
        <f aca="false">L87-H87*K87</f>
        <v>21000</v>
      </c>
      <c r="N87" s="2" t="s">
        <v>34</v>
      </c>
    </row>
    <row r="88" customFormat="false" ht="15" hidden="false" customHeight="false" outlineLevel="0" collapsed="false">
      <c r="A88" s="2" t="s">
        <v>158</v>
      </c>
      <c r="B88" s="5" t="n">
        <v>46040</v>
      </c>
      <c r="C88" s="2" t="s">
        <v>36</v>
      </c>
      <c r="D88" s="2" t="s">
        <v>37</v>
      </c>
      <c r="E88" s="2" t="s">
        <v>57</v>
      </c>
      <c r="F88" s="2" t="s">
        <v>88</v>
      </c>
      <c r="G88" s="2" t="s">
        <v>69</v>
      </c>
      <c r="H88" s="6" t="n">
        <v>8</v>
      </c>
      <c r="I88" s="7" t="n">
        <v>1800</v>
      </c>
      <c r="J88" s="8" t="n">
        <v>0.15</v>
      </c>
      <c r="K88" s="7" t="n">
        <v>1000</v>
      </c>
      <c r="L88" s="9" t="n">
        <f aca="false">H88*I88*(1-J88)</f>
        <v>12240</v>
      </c>
      <c r="M88" s="9" t="n">
        <f aca="false">L88-H88*K88</f>
        <v>4240</v>
      </c>
      <c r="N88" s="2" t="s">
        <v>34</v>
      </c>
    </row>
    <row r="89" customFormat="false" ht="15" hidden="false" customHeight="false" outlineLevel="0" collapsed="false">
      <c r="A89" s="2" t="s">
        <v>159</v>
      </c>
      <c r="B89" s="5" t="n">
        <v>46042</v>
      </c>
      <c r="C89" s="2" t="s">
        <v>29</v>
      </c>
      <c r="D89" s="2" t="s">
        <v>48</v>
      </c>
      <c r="E89" s="2" t="s">
        <v>31</v>
      </c>
      <c r="F89" s="2" t="s">
        <v>80</v>
      </c>
      <c r="G89" s="2" t="s">
        <v>40</v>
      </c>
      <c r="H89" s="6" t="n">
        <v>3</v>
      </c>
      <c r="I89" s="7" t="n">
        <v>9800</v>
      </c>
      <c r="J89" s="8" t="n">
        <v>0</v>
      </c>
      <c r="K89" s="7" t="n">
        <v>7200</v>
      </c>
      <c r="L89" s="9" t="n">
        <f aca="false">H89*I89*(1-J89)</f>
        <v>29400</v>
      </c>
      <c r="M89" s="9" t="n">
        <f aca="false">L89-H89*K89</f>
        <v>7800</v>
      </c>
      <c r="N89" s="2" t="s">
        <v>34</v>
      </c>
    </row>
    <row r="90" customFormat="false" ht="15" hidden="false" customHeight="false" outlineLevel="0" collapsed="false">
      <c r="A90" s="2" t="s">
        <v>160</v>
      </c>
      <c r="B90" s="5" t="n">
        <v>46043</v>
      </c>
      <c r="C90" s="2" t="s">
        <v>36</v>
      </c>
      <c r="D90" s="2" t="s">
        <v>37</v>
      </c>
      <c r="E90" s="2" t="s">
        <v>60</v>
      </c>
      <c r="F90" s="2" t="s">
        <v>46</v>
      </c>
      <c r="G90" s="2" t="s">
        <v>40</v>
      </c>
      <c r="H90" s="6" t="n">
        <v>2</v>
      </c>
      <c r="I90" s="7" t="n">
        <v>320</v>
      </c>
      <c r="J90" s="8" t="n">
        <v>0.2</v>
      </c>
      <c r="K90" s="7" t="n">
        <v>240</v>
      </c>
      <c r="L90" s="9" t="n">
        <f aca="false">H90*I90*(1-J90)</f>
        <v>512</v>
      </c>
      <c r="M90" s="9" t="n">
        <f aca="false">L90-H90*K90</f>
        <v>32</v>
      </c>
      <c r="N90" s="2" t="s">
        <v>34</v>
      </c>
    </row>
    <row r="91" customFormat="false" ht="15" hidden="false" customHeight="false" outlineLevel="0" collapsed="false">
      <c r="A91" s="2" t="s">
        <v>161</v>
      </c>
      <c r="B91" s="5" t="n">
        <v>46045</v>
      </c>
      <c r="C91" s="2" t="s">
        <v>36</v>
      </c>
      <c r="D91" s="2" t="s">
        <v>37</v>
      </c>
      <c r="E91" s="2" t="s">
        <v>31</v>
      </c>
      <c r="F91" s="2" t="s">
        <v>32</v>
      </c>
      <c r="G91" s="2" t="s">
        <v>33</v>
      </c>
      <c r="H91" s="6" t="n">
        <v>2</v>
      </c>
      <c r="I91" s="7" t="n">
        <v>8500</v>
      </c>
      <c r="J91" s="8" t="n">
        <v>0</v>
      </c>
      <c r="K91" s="7" t="n">
        <v>3200</v>
      </c>
      <c r="L91" s="9" t="n">
        <f aca="false">H91*I91*(1-J91)</f>
        <v>17000</v>
      </c>
      <c r="M91" s="9" t="n">
        <f aca="false">L91-H91*K91</f>
        <v>10600</v>
      </c>
      <c r="N91" s="2" t="s">
        <v>34</v>
      </c>
    </row>
    <row r="92" customFormat="false" ht="15" hidden="false" customHeight="false" outlineLevel="0" collapsed="false">
      <c r="A92" s="2" t="s">
        <v>162</v>
      </c>
      <c r="B92" s="5" t="n">
        <v>46046</v>
      </c>
      <c r="C92" s="2" t="s">
        <v>43</v>
      </c>
      <c r="D92" s="2" t="s">
        <v>91</v>
      </c>
      <c r="E92" s="2" t="s">
        <v>45</v>
      </c>
      <c r="F92" s="2" t="s">
        <v>88</v>
      </c>
      <c r="G92" s="2" t="s">
        <v>69</v>
      </c>
      <c r="H92" s="6" t="n">
        <v>20</v>
      </c>
      <c r="I92" s="7" t="n">
        <v>1800</v>
      </c>
      <c r="J92" s="8" t="n">
        <v>0</v>
      </c>
      <c r="K92" s="7" t="n">
        <v>1000</v>
      </c>
      <c r="L92" s="9" t="n">
        <f aca="false">H92*I92*(1-J92)</f>
        <v>36000</v>
      </c>
      <c r="M92" s="9" t="n">
        <f aca="false">L92-H92*K92</f>
        <v>16000</v>
      </c>
      <c r="N92" s="2" t="s">
        <v>34</v>
      </c>
    </row>
    <row r="93" customFormat="false" ht="15" hidden="false" customHeight="false" outlineLevel="0" collapsed="false">
      <c r="A93" s="2" t="s">
        <v>163</v>
      </c>
      <c r="B93" s="5" t="n">
        <v>46046</v>
      </c>
      <c r="C93" s="2" t="s">
        <v>29</v>
      </c>
      <c r="D93" s="2" t="s">
        <v>48</v>
      </c>
      <c r="E93" s="2" t="s">
        <v>60</v>
      </c>
      <c r="F93" s="2" t="s">
        <v>98</v>
      </c>
      <c r="G93" s="2" t="s">
        <v>69</v>
      </c>
      <c r="H93" s="6" t="n">
        <v>4</v>
      </c>
      <c r="I93" s="7" t="n">
        <v>3500</v>
      </c>
      <c r="J93" s="8" t="n">
        <v>0.15</v>
      </c>
      <c r="K93" s="7" t="n">
        <v>1400</v>
      </c>
      <c r="L93" s="9" t="n">
        <f aca="false">H93*I93*(1-J93)</f>
        <v>11900</v>
      </c>
      <c r="M93" s="9" t="n">
        <f aca="false">L93-H93*K93</f>
        <v>6300</v>
      </c>
      <c r="N93" s="2" t="s">
        <v>34</v>
      </c>
    </row>
    <row r="94" customFormat="false" ht="15" hidden="false" customHeight="false" outlineLevel="0" collapsed="false">
      <c r="A94" s="2" t="s">
        <v>164</v>
      </c>
      <c r="B94" s="5" t="n">
        <v>46047</v>
      </c>
      <c r="C94" s="2" t="s">
        <v>29</v>
      </c>
      <c r="D94" s="2" t="s">
        <v>30</v>
      </c>
      <c r="E94" s="2" t="s">
        <v>82</v>
      </c>
      <c r="F94" s="2" t="s">
        <v>50</v>
      </c>
      <c r="G94" s="2" t="s">
        <v>40</v>
      </c>
      <c r="H94" s="6" t="n">
        <v>2</v>
      </c>
      <c r="I94" s="7" t="n">
        <v>1450</v>
      </c>
      <c r="J94" s="8" t="n">
        <v>0</v>
      </c>
      <c r="K94" s="7" t="n">
        <v>1050</v>
      </c>
      <c r="L94" s="9" t="n">
        <f aca="false">H94*I94*(1-J94)</f>
        <v>2900</v>
      </c>
      <c r="M94" s="9" t="n">
        <f aca="false">L94-H94*K94</f>
        <v>800</v>
      </c>
      <c r="N94" s="2" t="s">
        <v>34</v>
      </c>
    </row>
    <row r="95" customFormat="false" ht="15" hidden="false" customHeight="false" outlineLevel="0" collapsed="false">
      <c r="A95" s="2" t="s">
        <v>165</v>
      </c>
      <c r="B95" s="5" t="n">
        <v>46048</v>
      </c>
      <c r="C95" s="2" t="s">
        <v>29</v>
      </c>
      <c r="D95" s="2" t="s">
        <v>30</v>
      </c>
      <c r="E95" s="2" t="s">
        <v>63</v>
      </c>
      <c r="F95" s="2" t="s">
        <v>50</v>
      </c>
      <c r="G95" s="2" t="s">
        <v>40</v>
      </c>
      <c r="H95" s="6" t="n">
        <v>20</v>
      </c>
      <c r="I95" s="7" t="n">
        <v>1450</v>
      </c>
      <c r="J95" s="8" t="n">
        <v>0.2</v>
      </c>
      <c r="K95" s="7" t="n">
        <v>1050</v>
      </c>
      <c r="L95" s="9" t="n">
        <f aca="false">H95*I95*(1-J95)</f>
        <v>23200</v>
      </c>
      <c r="M95" s="9" t="n">
        <f aca="false">L95-H95*K95</f>
        <v>2200</v>
      </c>
      <c r="N95" s="2" t="s">
        <v>34</v>
      </c>
    </row>
    <row r="96" customFormat="false" ht="15" hidden="false" customHeight="false" outlineLevel="0" collapsed="false">
      <c r="A96" s="2" t="s">
        <v>166</v>
      </c>
      <c r="B96" s="5" t="n">
        <v>46048</v>
      </c>
      <c r="C96" s="2" t="s">
        <v>36</v>
      </c>
      <c r="D96" s="2" t="s">
        <v>37</v>
      </c>
      <c r="E96" s="2" t="s">
        <v>106</v>
      </c>
      <c r="F96" s="2" t="s">
        <v>46</v>
      </c>
      <c r="G96" s="2" t="s">
        <v>40</v>
      </c>
      <c r="H96" s="6" t="n">
        <v>15</v>
      </c>
      <c r="I96" s="7" t="n">
        <v>320</v>
      </c>
      <c r="J96" s="8" t="n">
        <v>0.1</v>
      </c>
      <c r="K96" s="7" t="n">
        <v>240</v>
      </c>
      <c r="L96" s="9" t="n">
        <f aca="false">H96*I96*(1-J96)</f>
        <v>4320</v>
      </c>
      <c r="M96" s="9" t="n">
        <f aca="false">L96-H96*K96</f>
        <v>720</v>
      </c>
      <c r="N96" s="2" t="s">
        <v>34</v>
      </c>
    </row>
    <row r="97" customFormat="false" ht="15" hidden="false" customHeight="false" outlineLevel="0" collapsed="false">
      <c r="A97" s="2" t="s">
        <v>167</v>
      </c>
      <c r="B97" s="5" t="n">
        <v>46049</v>
      </c>
      <c r="C97" s="2" t="s">
        <v>29</v>
      </c>
      <c r="D97" s="2" t="s">
        <v>48</v>
      </c>
      <c r="E97" s="2" t="s">
        <v>66</v>
      </c>
      <c r="F97" s="2" t="s">
        <v>46</v>
      </c>
      <c r="G97" s="2" t="s">
        <v>40</v>
      </c>
      <c r="H97" s="6" t="n">
        <v>8</v>
      </c>
      <c r="I97" s="7" t="n">
        <v>320</v>
      </c>
      <c r="J97" s="8" t="n">
        <v>0.05</v>
      </c>
      <c r="K97" s="7" t="n">
        <v>240</v>
      </c>
      <c r="L97" s="9" t="n">
        <f aca="false">H97*I97*(1-J97)</f>
        <v>2432</v>
      </c>
      <c r="M97" s="9" t="n">
        <f aca="false">L97-H97*K97</f>
        <v>512</v>
      </c>
      <c r="N97" s="2" t="s">
        <v>34</v>
      </c>
    </row>
    <row r="98" customFormat="false" ht="15" hidden="false" customHeight="false" outlineLevel="0" collapsed="false">
      <c r="A98" s="2" t="s">
        <v>168</v>
      </c>
      <c r="B98" s="5" t="n">
        <v>46049</v>
      </c>
      <c r="C98" s="2" t="s">
        <v>43</v>
      </c>
      <c r="D98" s="2" t="s">
        <v>44</v>
      </c>
      <c r="E98" s="2" t="s">
        <v>120</v>
      </c>
      <c r="F98" s="2" t="s">
        <v>46</v>
      </c>
      <c r="G98" s="2" t="s">
        <v>40</v>
      </c>
      <c r="H98" s="6" t="n">
        <v>20</v>
      </c>
      <c r="I98" s="7" t="n">
        <v>320</v>
      </c>
      <c r="J98" s="8" t="n">
        <v>0.1</v>
      </c>
      <c r="K98" s="7" t="n">
        <v>240</v>
      </c>
      <c r="L98" s="9" t="n">
        <f aca="false">H98*I98*(1-J98)</f>
        <v>5760</v>
      </c>
      <c r="M98" s="9" t="n">
        <f aca="false">L98-H98*K98</f>
        <v>960</v>
      </c>
      <c r="N98" s="2" t="s">
        <v>34</v>
      </c>
    </row>
    <row r="99" customFormat="false" ht="15" hidden="false" customHeight="false" outlineLevel="0" collapsed="false">
      <c r="A99" s="2" t="s">
        <v>169</v>
      </c>
      <c r="B99" s="5" t="n">
        <v>46052</v>
      </c>
      <c r="C99" s="2" t="s">
        <v>43</v>
      </c>
      <c r="D99" s="2" t="s">
        <v>91</v>
      </c>
      <c r="E99" s="2" t="s">
        <v>57</v>
      </c>
      <c r="F99" s="2" t="s">
        <v>32</v>
      </c>
      <c r="G99" s="2" t="s">
        <v>33</v>
      </c>
      <c r="H99" s="6" t="n">
        <v>4</v>
      </c>
      <c r="I99" s="7" t="n">
        <v>8500</v>
      </c>
      <c r="J99" s="8" t="n">
        <v>0.1</v>
      </c>
      <c r="K99" s="7" t="n">
        <v>3200</v>
      </c>
      <c r="L99" s="9" t="n">
        <f aca="false">H99*I99*(1-J99)</f>
        <v>30600</v>
      </c>
      <c r="M99" s="9" t="n">
        <f aca="false">L99-H99*K99</f>
        <v>17800</v>
      </c>
      <c r="N99" s="2" t="s">
        <v>34</v>
      </c>
    </row>
    <row r="100" customFormat="false" ht="15" hidden="false" customHeight="false" outlineLevel="0" collapsed="false">
      <c r="A100" s="2" t="s">
        <v>170</v>
      </c>
      <c r="B100" s="5" t="n">
        <v>46052</v>
      </c>
      <c r="C100" s="2" t="s">
        <v>29</v>
      </c>
      <c r="D100" s="2" t="s">
        <v>48</v>
      </c>
      <c r="E100" s="2" t="s">
        <v>63</v>
      </c>
      <c r="F100" s="2" t="s">
        <v>85</v>
      </c>
      <c r="G100" s="2" t="s">
        <v>33</v>
      </c>
      <c r="H100" s="6" t="n">
        <v>7</v>
      </c>
      <c r="I100" s="7" t="n">
        <v>2400</v>
      </c>
      <c r="J100" s="8" t="n">
        <v>0</v>
      </c>
      <c r="K100" s="7" t="n">
        <v>900</v>
      </c>
      <c r="L100" s="9" t="n">
        <f aca="false">H100*I100*(1-J100)</f>
        <v>16800</v>
      </c>
      <c r="M100" s="9" t="n">
        <f aca="false">L100-H100*K100</f>
        <v>10500</v>
      </c>
      <c r="N100" s="2" t="s">
        <v>34</v>
      </c>
    </row>
    <row r="101" customFormat="false" ht="15" hidden="false" customHeight="false" outlineLevel="0" collapsed="false">
      <c r="A101" s="2" t="s">
        <v>171</v>
      </c>
      <c r="B101" s="5" t="n">
        <v>46054</v>
      </c>
      <c r="C101" s="2" t="s">
        <v>52</v>
      </c>
      <c r="D101" s="2" t="s">
        <v>72</v>
      </c>
      <c r="E101" s="2" t="s">
        <v>82</v>
      </c>
      <c r="F101" s="2" t="s">
        <v>88</v>
      </c>
      <c r="G101" s="2" t="s">
        <v>69</v>
      </c>
      <c r="H101" s="6" t="n">
        <v>8</v>
      </c>
      <c r="I101" s="7" t="n">
        <v>1800</v>
      </c>
      <c r="J101" s="8" t="n">
        <v>0</v>
      </c>
      <c r="K101" s="7" t="n">
        <v>1000</v>
      </c>
      <c r="L101" s="9" t="n">
        <f aca="false">H101*I101*(1-J101)</f>
        <v>14400</v>
      </c>
      <c r="M101" s="9" t="n">
        <f aca="false">L101-H101*K101</f>
        <v>6400</v>
      </c>
      <c r="N101" s="2" t="s">
        <v>34</v>
      </c>
    </row>
    <row r="102" customFormat="false" ht="15" hidden="false" customHeight="false" outlineLevel="0" collapsed="false">
      <c r="A102" s="2" t="s">
        <v>172</v>
      </c>
      <c r="B102" s="5" t="n">
        <v>46054</v>
      </c>
      <c r="C102" s="2" t="s">
        <v>36</v>
      </c>
      <c r="D102" s="2" t="s">
        <v>37</v>
      </c>
      <c r="E102" s="2" t="s">
        <v>60</v>
      </c>
      <c r="F102" s="2" t="s">
        <v>32</v>
      </c>
      <c r="G102" s="2" t="s">
        <v>33</v>
      </c>
      <c r="H102" s="6" t="n">
        <v>4</v>
      </c>
      <c r="I102" s="7" t="n">
        <v>8500</v>
      </c>
      <c r="J102" s="8" t="n">
        <v>0.1</v>
      </c>
      <c r="K102" s="7" t="n">
        <v>3200</v>
      </c>
      <c r="L102" s="9" t="n">
        <f aca="false">H102*I102*(1-J102)</f>
        <v>30600</v>
      </c>
      <c r="M102" s="9" t="n">
        <f aca="false">L102-H102*K102</f>
        <v>17800</v>
      </c>
      <c r="N102" s="2" t="s">
        <v>34</v>
      </c>
    </row>
    <row r="103" customFormat="false" ht="15" hidden="false" customHeight="false" outlineLevel="0" collapsed="false">
      <c r="A103" s="2" t="s">
        <v>173</v>
      </c>
      <c r="B103" s="5" t="n">
        <v>46056</v>
      </c>
      <c r="C103" s="2" t="s">
        <v>29</v>
      </c>
      <c r="D103" s="2" t="s">
        <v>48</v>
      </c>
      <c r="E103" s="2" t="s">
        <v>54</v>
      </c>
      <c r="F103" s="2" t="s">
        <v>46</v>
      </c>
      <c r="G103" s="2" t="s">
        <v>40</v>
      </c>
      <c r="H103" s="6" t="n">
        <v>1</v>
      </c>
      <c r="I103" s="7" t="n">
        <v>320</v>
      </c>
      <c r="J103" s="8" t="n">
        <v>0.15</v>
      </c>
      <c r="K103" s="7" t="n">
        <v>240</v>
      </c>
      <c r="L103" s="9" t="n">
        <f aca="false">H103*I103*(1-J103)</f>
        <v>272</v>
      </c>
      <c r="M103" s="9" t="n">
        <f aca="false">L103-H103*K103</f>
        <v>32</v>
      </c>
      <c r="N103" s="2" t="s">
        <v>34</v>
      </c>
    </row>
    <row r="104" customFormat="false" ht="15" hidden="false" customHeight="false" outlineLevel="0" collapsed="false">
      <c r="A104" s="2" t="s">
        <v>174</v>
      </c>
      <c r="B104" s="5" t="n">
        <v>46057</v>
      </c>
      <c r="C104" s="2" t="s">
        <v>36</v>
      </c>
      <c r="D104" s="2" t="s">
        <v>62</v>
      </c>
      <c r="E104" s="2" t="s">
        <v>109</v>
      </c>
      <c r="F104" s="2" t="s">
        <v>85</v>
      </c>
      <c r="G104" s="2" t="s">
        <v>33</v>
      </c>
      <c r="H104" s="6" t="n">
        <v>2</v>
      </c>
      <c r="I104" s="7" t="n">
        <v>2400</v>
      </c>
      <c r="J104" s="8" t="n">
        <v>0.05</v>
      </c>
      <c r="K104" s="7" t="n">
        <v>900</v>
      </c>
      <c r="L104" s="9" t="n">
        <f aca="false">H104*I104*(1-J104)</f>
        <v>4560</v>
      </c>
      <c r="M104" s="9" t="n">
        <f aca="false">L104-H104*K104</f>
        <v>2760</v>
      </c>
      <c r="N104" s="2" t="s">
        <v>34</v>
      </c>
    </row>
    <row r="105" customFormat="false" ht="15" hidden="false" customHeight="false" outlineLevel="0" collapsed="false">
      <c r="A105" s="2" t="s">
        <v>175</v>
      </c>
      <c r="B105" s="5" t="n">
        <v>46057</v>
      </c>
      <c r="C105" s="2" t="s">
        <v>43</v>
      </c>
      <c r="D105" s="2" t="s">
        <v>91</v>
      </c>
      <c r="E105" s="2" t="s">
        <v>84</v>
      </c>
      <c r="F105" s="2" t="s">
        <v>46</v>
      </c>
      <c r="G105" s="2" t="s">
        <v>40</v>
      </c>
      <c r="H105" s="6" t="n">
        <v>20</v>
      </c>
      <c r="I105" s="7" t="n">
        <v>320</v>
      </c>
      <c r="J105" s="8" t="n">
        <v>0.2</v>
      </c>
      <c r="K105" s="7" t="n">
        <v>240</v>
      </c>
      <c r="L105" s="9" t="n">
        <f aca="false">H105*I105*(1-J105)</f>
        <v>5120</v>
      </c>
      <c r="M105" s="9" t="n">
        <f aca="false">L105-H105*K105</f>
        <v>320</v>
      </c>
      <c r="N105" s="2" t="s">
        <v>34</v>
      </c>
    </row>
    <row r="106" customFormat="false" ht="15" hidden="false" customHeight="false" outlineLevel="0" collapsed="false">
      <c r="A106" s="2" t="s">
        <v>176</v>
      </c>
      <c r="B106" s="5" t="n">
        <v>46058</v>
      </c>
      <c r="C106" s="2" t="s">
        <v>52</v>
      </c>
      <c r="D106" s="2" t="s">
        <v>53</v>
      </c>
      <c r="E106" s="2" t="s">
        <v>106</v>
      </c>
      <c r="F106" s="2" t="s">
        <v>80</v>
      </c>
      <c r="G106" s="2" t="s">
        <v>40</v>
      </c>
      <c r="H106" s="6" t="n">
        <v>3</v>
      </c>
      <c r="I106" s="7" t="n">
        <v>9800</v>
      </c>
      <c r="J106" s="8" t="n">
        <v>0.2</v>
      </c>
      <c r="K106" s="7" t="n">
        <v>7200</v>
      </c>
      <c r="L106" s="9" t="n">
        <f aca="false">H106*I106*(1-J106)</f>
        <v>23520</v>
      </c>
      <c r="M106" s="9" t="n">
        <f aca="false">L106-H106*K106</f>
        <v>1920</v>
      </c>
      <c r="N106" s="2" t="s">
        <v>34</v>
      </c>
    </row>
    <row r="107" customFormat="false" ht="15" hidden="false" customHeight="false" outlineLevel="0" collapsed="false">
      <c r="A107" s="2" t="s">
        <v>177</v>
      </c>
      <c r="B107" s="5" t="n">
        <v>46058</v>
      </c>
      <c r="C107" s="2" t="s">
        <v>29</v>
      </c>
      <c r="D107" s="2" t="s">
        <v>48</v>
      </c>
      <c r="E107" s="2" t="s">
        <v>49</v>
      </c>
      <c r="F107" s="2" t="s">
        <v>73</v>
      </c>
      <c r="G107" s="2" t="s">
        <v>33</v>
      </c>
      <c r="H107" s="6" t="n">
        <v>3</v>
      </c>
      <c r="I107" s="7" t="n">
        <v>6200</v>
      </c>
      <c r="J107" s="8" t="n">
        <v>0.15</v>
      </c>
      <c r="K107" s="7" t="n">
        <v>2600</v>
      </c>
      <c r="L107" s="9" t="n">
        <f aca="false">H107*I107*(1-J107)</f>
        <v>15810</v>
      </c>
      <c r="M107" s="9" t="n">
        <f aca="false">L107-H107*K107</f>
        <v>8010</v>
      </c>
      <c r="N107" s="2" t="s">
        <v>34</v>
      </c>
    </row>
    <row r="108" customFormat="false" ht="15" hidden="false" customHeight="false" outlineLevel="0" collapsed="false">
      <c r="A108" s="2" t="s">
        <v>178</v>
      </c>
      <c r="B108" s="5" t="n">
        <v>46059</v>
      </c>
      <c r="C108" s="2" t="s">
        <v>52</v>
      </c>
      <c r="D108" s="2" t="s">
        <v>53</v>
      </c>
      <c r="E108" s="2" t="s">
        <v>106</v>
      </c>
      <c r="F108" s="2" t="s">
        <v>88</v>
      </c>
      <c r="G108" s="2" t="s">
        <v>69</v>
      </c>
      <c r="H108" s="6" t="n">
        <v>25</v>
      </c>
      <c r="I108" s="7" t="n">
        <v>1800</v>
      </c>
      <c r="J108" s="8" t="n">
        <v>0.05</v>
      </c>
      <c r="K108" s="7" t="n">
        <v>1000</v>
      </c>
      <c r="L108" s="9" t="n">
        <f aca="false">H108*I108*(1-J108)</f>
        <v>42750</v>
      </c>
      <c r="M108" s="9" t="n">
        <f aca="false">L108-H108*K108</f>
        <v>17750</v>
      </c>
      <c r="N108" s="2" t="s">
        <v>34</v>
      </c>
    </row>
    <row r="109" customFormat="false" ht="15" hidden="false" customHeight="false" outlineLevel="0" collapsed="false">
      <c r="A109" s="2" t="s">
        <v>179</v>
      </c>
      <c r="B109" s="5" t="n">
        <v>46060</v>
      </c>
      <c r="C109" s="2" t="s">
        <v>36</v>
      </c>
      <c r="D109" s="2" t="s">
        <v>37</v>
      </c>
      <c r="E109" s="2" t="s">
        <v>60</v>
      </c>
      <c r="F109" s="2" t="s">
        <v>46</v>
      </c>
      <c r="G109" s="2" t="s">
        <v>40</v>
      </c>
      <c r="H109" s="6" t="n">
        <v>15</v>
      </c>
      <c r="I109" s="7" t="n">
        <v>320</v>
      </c>
      <c r="J109" s="8" t="n">
        <v>0.05</v>
      </c>
      <c r="K109" s="7" t="n">
        <v>240</v>
      </c>
      <c r="L109" s="9" t="n">
        <f aca="false">H109*I109*(1-J109)</f>
        <v>4560</v>
      </c>
      <c r="M109" s="9" t="n">
        <f aca="false">L109-H109*K109</f>
        <v>960</v>
      </c>
      <c r="N109" s="2" t="s">
        <v>34</v>
      </c>
    </row>
    <row r="110" customFormat="false" ht="15" hidden="false" customHeight="false" outlineLevel="0" collapsed="false">
      <c r="A110" s="2" t="s">
        <v>180</v>
      </c>
      <c r="B110" s="5" t="n">
        <v>46065</v>
      </c>
      <c r="C110" s="2" t="s">
        <v>52</v>
      </c>
      <c r="D110" s="2" t="s">
        <v>53</v>
      </c>
      <c r="E110" s="2" t="s">
        <v>63</v>
      </c>
      <c r="F110" s="2" t="s">
        <v>85</v>
      </c>
      <c r="G110" s="2" t="s">
        <v>33</v>
      </c>
      <c r="H110" s="6" t="n">
        <v>7</v>
      </c>
      <c r="I110" s="7" t="n">
        <v>2400</v>
      </c>
      <c r="J110" s="8" t="n">
        <v>0.1</v>
      </c>
      <c r="K110" s="7" t="n">
        <v>900</v>
      </c>
      <c r="L110" s="9" t="n">
        <f aca="false">H110*I110*(1-J110)</f>
        <v>15120</v>
      </c>
      <c r="M110" s="9" t="n">
        <f aca="false">L110-H110*K110</f>
        <v>8820</v>
      </c>
      <c r="N110" s="2" t="s">
        <v>34</v>
      </c>
    </row>
    <row r="111" customFormat="false" ht="15" hidden="false" customHeight="false" outlineLevel="0" collapsed="false">
      <c r="A111" s="2" t="s">
        <v>181</v>
      </c>
      <c r="B111" s="5" t="n">
        <v>46066</v>
      </c>
      <c r="C111" s="2" t="s">
        <v>43</v>
      </c>
      <c r="D111" s="2" t="s">
        <v>91</v>
      </c>
      <c r="E111" s="2" t="s">
        <v>79</v>
      </c>
      <c r="F111" s="2" t="s">
        <v>73</v>
      </c>
      <c r="G111" s="2" t="s">
        <v>33</v>
      </c>
      <c r="H111" s="6" t="n">
        <v>4</v>
      </c>
      <c r="I111" s="7" t="n">
        <v>6200</v>
      </c>
      <c r="J111" s="8" t="n">
        <v>0</v>
      </c>
      <c r="K111" s="7" t="n">
        <v>2600</v>
      </c>
      <c r="L111" s="9" t="n">
        <f aca="false">H111*I111*(1-J111)</f>
        <v>24800</v>
      </c>
      <c r="M111" s="9" t="n">
        <f aca="false">L111-H111*K111</f>
        <v>14400</v>
      </c>
      <c r="N111" s="2" t="s">
        <v>34</v>
      </c>
    </row>
    <row r="112" customFormat="false" ht="15" hidden="false" customHeight="false" outlineLevel="0" collapsed="false">
      <c r="A112" s="2" t="s">
        <v>182</v>
      </c>
      <c r="B112" s="5" t="n">
        <v>46066</v>
      </c>
      <c r="C112" s="2" t="s">
        <v>36</v>
      </c>
      <c r="D112" s="2" t="s">
        <v>37</v>
      </c>
      <c r="E112" s="2" t="s">
        <v>54</v>
      </c>
      <c r="F112" s="2" t="s">
        <v>46</v>
      </c>
      <c r="G112" s="2" t="s">
        <v>40</v>
      </c>
      <c r="H112" s="6" t="n">
        <v>3</v>
      </c>
      <c r="I112" s="7" t="n">
        <v>320</v>
      </c>
      <c r="J112" s="8" t="n">
        <v>0</v>
      </c>
      <c r="K112" s="7" t="n">
        <v>240</v>
      </c>
      <c r="L112" s="9" t="n">
        <f aca="false">H112*I112*(1-J112)</f>
        <v>960</v>
      </c>
      <c r="M112" s="9" t="n">
        <f aca="false">L112-H112*K112</f>
        <v>240</v>
      </c>
      <c r="N112" s="2" t="s">
        <v>34</v>
      </c>
    </row>
    <row r="113" customFormat="false" ht="15" hidden="false" customHeight="false" outlineLevel="0" collapsed="false">
      <c r="A113" s="2" t="s">
        <v>183</v>
      </c>
      <c r="B113" s="5" t="n">
        <v>46067</v>
      </c>
      <c r="C113" s="2" t="s">
        <v>43</v>
      </c>
      <c r="D113" s="2" t="s">
        <v>91</v>
      </c>
      <c r="E113" s="2" t="s">
        <v>60</v>
      </c>
      <c r="F113" s="2" t="s">
        <v>32</v>
      </c>
      <c r="G113" s="2" t="s">
        <v>33</v>
      </c>
      <c r="H113" s="6" t="n">
        <v>2</v>
      </c>
      <c r="I113" s="7" t="n">
        <v>8500</v>
      </c>
      <c r="J113" s="8" t="n">
        <v>0.15</v>
      </c>
      <c r="K113" s="7" t="n">
        <v>3200</v>
      </c>
      <c r="L113" s="9" t="n">
        <f aca="false">H113*I113*(1-J113)</f>
        <v>14450</v>
      </c>
      <c r="M113" s="9" t="n">
        <f aca="false">L113-H113*K113</f>
        <v>8050</v>
      </c>
      <c r="N113" s="2" t="s">
        <v>34</v>
      </c>
    </row>
    <row r="114" customFormat="false" ht="15" hidden="false" customHeight="false" outlineLevel="0" collapsed="false">
      <c r="A114" s="2" t="s">
        <v>184</v>
      </c>
      <c r="B114" s="5" t="n">
        <v>46071</v>
      </c>
      <c r="C114" s="2" t="s">
        <v>36</v>
      </c>
      <c r="D114" s="2" t="s">
        <v>62</v>
      </c>
      <c r="E114" s="2" t="s">
        <v>57</v>
      </c>
      <c r="F114" s="2" t="s">
        <v>73</v>
      </c>
      <c r="G114" s="2" t="s">
        <v>33</v>
      </c>
      <c r="H114" s="6" t="n">
        <v>3</v>
      </c>
      <c r="I114" s="7" t="n">
        <v>6200</v>
      </c>
      <c r="J114" s="8" t="n">
        <v>0</v>
      </c>
      <c r="K114" s="7" t="n">
        <v>2600</v>
      </c>
      <c r="L114" s="9" t="n">
        <f aca="false">H114*I114*(1-J114)</f>
        <v>18600</v>
      </c>
      <c r="M114" s="9" t="n">
        <f aca="false">L114-H114*K114</f>
        <v>10800</v>
      </c>
      <c r="N114" s="2" t="s">
        <v>64</v>
      </c>
    </row>
    <row r="115" customFormat="false" ht="15" hidden="false" customHeight="false" outlineLevel="0" collapsed="false">
      <c r="A115" s="2" t="s">
        <v>185</v>
      </c>
      <c r="B115" s="5" t="n">
        <v>46071</v>
      </c>
      <c r="C115" s="2" t="s">
        <v>36</v>
      </c>
      <c r="D115" s="2" t="s">
        <v>62</v>
      </c>
      <c r="E115" s="2" t="s">
        <v>82</v>
      </c>
      <c r="F115" s="2" t="s">
        <v>75</v>
      </c>
      <c r="G115" s="2" t="s">
        <v>33</v>
      </c>
      <c r="H115" s="6" t="n">
        <v>3</v>
      </c>
      <c r="I115" s="7" t="n">
        <v>12000</v>
      </c>
      <c r="J115" s="8" t="n">
        <v>0.1</v>
      </c>
      <c r="K115" s="7" t="n">
        <v>5000</v>
      </c>
      <c r="L115" s="9" t="n">
        <f aca="false">H115*I115*(1-J115)</f>
        <v>32400</v>
      </c>
      <c r="M115" s="9" t="n">
        <f aca="false">L115-H115*K115</f>
        <v>17400</v>
      </c>
      <c r="N115" s="2" t="s">
        <v>34</v>
      </c>
    </row>
    <row r="116" customFormat="false" ht="15" hidden="false" customHeight="false" outlineLevel="0" collapsed="false">
      <c r="A116" s="2" t="s">
        <v>186</v>
      </c>
      <c r="B116" s="5" t="n">
        <v>46072</v>
      </c>
      <c r="C116" s="2" t="s">
        <v>36</v>
      </c>
      <c r="D116" s="2" t="s">
        <v>37</v>
      </c>
      <c r="E116" s="2" t="s">
        <v>38</v>
      </c>
      <c r="F116" s="2" t="s">
        <v>50</v>
      </c>
      <c r="G116" s="2" t="s">
        <v>40</v>
      </c>
      <c r="H116" s="6" t="n">
        <v>1</v>
      </c>
      <c r="I116" s="7" t="n">
        <v>1450</v>
      </c>
      <c r="J116" s="8" t="n">
        <v>0</v>
      </c>
      <c r="K116" s="7" t="n">
        <v>1050</v>
      </c>
      <c r="L116" s="9" t="n">
        <f aca="false">H116*I116*(1-J116)</f>
        <v>1450</v>
      </c>
      <c r="M116" s="9" t="n">
        <f aca="false">L116-H116*K116</f>
        <v>400</v>
      </c>
      <c r="N116" s="2" t="s">
        <v>34</v>
      </c>
    </row>
    <row r="117" customFormat="false" ht="15" hidden="false" customHeight="false" outlineLevel="0" collapsed="false">
      <c r="A117" s="2" t="s">
        <v>187</v>
      </c>
      <c r="B117" s="5" t="n">
        <v>46073</v>
      </c>
      <c r="C117" s="2" t="s">
        <v>43</v>
      </c>
      <c r="D117" s="2" t="s">
        <v>91</v>
      </c>
      <c r="E117" s="2" t="s">
        <v>84</v>
      </c>
      <c r="F117" s="2" t="s">
        <v>88</v>
      </c>
      <c r="G117" s="2" t="s">
        <v>69</v>
      </c>
      <c r="H117" s="6" t="n">
        <v>10</v>
      </c>
      <c r="I117" s="7" t="n">
        <v>1800</v>
      </c>
      <c r="J117" s="8" t="n">
        <v>0</v>
      </c>
      <c r="K117" s="7" t="n">
        <v>1000</v>
      </c>
      <c r="L117" s="9" t="n">
        <f aca="false">H117*I117*(1-J117)</f>
        <v>18000</v>
      </c>
      <c r="M117" s="9" t="n">
        <f aca="false">L117-H117*K117</f>
        <v>8000</v>
      </c>
      <c r="N117" s="2" t="s">
        <v>34</v>
      </c>
    </row>
    <row r="118" customFormat="false" ht="15" hidden="false" customHeight="false" outlineLevel="0" collapsed="false">
      <c r="A118" s="2" t="s">
        <v>188</v>
      </c>
      <c r="B118" s="5" t="n">
        <v>46075</v>
      </c>
      <c r="C118" s="2" t="s">
        <v>29</v>
      </c>
      <c r="D118" s="2" t="s">
        <v>30</v>
      </c>
      <c r="E118" s="2" t="s">
        <v>54</v>
      </c>
      <c r="F118" s="2" t="s">
        <v>50</v>
      </c>
      <c r="G118" s="2" t="s">
        <v>40</v>
      </c>
      <c r="H118" s="6" t="n">
        <v>3</v>
      </c>
      <c r="I118" s="7" t="n">
        <v>1450</v>
      </c>
      <c r="J118" s="8" t="n">
        <v>0.05</v>
      </c>
      <c r="K118" s="7" t="n">
        <v>1050</v>
      </c>
      <c r="L118" s="9" t="n">
        <f aca="false">H118*I118*(1-J118)</f>
        <v>4132.5</v>
      </c>
      <c r="M118" s="9" t="n">
        <f aca="false">L118-H118*K118</f>
        <v>982.5</v>
      </c>
      <c r="N118" s="2" t="s">
        <v>34</v>
      </c>
    </row>
    <row r="119" customFormat="false" ht="15" hidden="false" customHeight="false" outlineLevel="0" collapsed="false">
      <c r="A119" s="2" t="s">
        <v>189</v>
      </c>
      <c r="B119" s="5" t="n">
        <v>46076</v>
      </c>
      <c r="C119" s="2" t="s">
        <v>52</v>
      </c>
      <c r="D119" s="2" t="s">
        <v>53</v>
      </c>
      <c r="E119" s="2" t="s">
        <v>82</v>
      </c>
      <c r="F119" s="2" t="s">
        <v>50</v>
      </c>
      <c r="G119" s="2" t="s">
        <v>40</v>
      </c>
      <c r="H119" s="6" t="n">
        <v>3</v>
      </c>
      <c r="I119" s="7" t="n">
        <v>1450</v>
      </c>
      <c r="J119" s="8" t="n">
        <v>0.15</v>
      </c>
      <c r="K119" s="7" t="n">
        <v>1050</v>
      </c>
      <c r="L119" s="9" t="n">
        <f aca="false">H119*I119*(1-J119)</f>
        <v>3697.5</v>
      </c>
      <c r="M119" s="9" t="n">
        <f aca="false">L119-H119*K119</f>
        <v>547.5</v>
      </c>
      <c r="N119" s="2" t="s">
        <v>34</v>
      </c>
    </row>
    <row r="120" customFormat="false" ht="15" hidden="false" customHeight="false" outlineLevel="0" collapsed="false">
      <c r="A120" s="2" t="s">
        <v>190</v>
      </c>
      <c r="B120" s="5" t="n">
        <v>46077</v>
      </c>
      <c r="C120" s="2" t="s">
        <v>36</v>
      </c>
      <c r="D120" s="2" t="s">
        <v>62</v>
      </c>
      <c r="E120" s="2" t="s">
        <v>79</v>
      </c>
      <c r="F120" s="2" t="s">
        <v>75</v>
      </c>
      <c r="G120" s="2" t="s">
        <v>33</v>
      </c>
      <c r="H120" s="6" t="n">
        <v>4</v>
      </c>
      <c r="I120" s="7" t="n">
        <v>12000</v>
      </c>
      <c r="J120" s="8" t="n">
        <v>0.1</v>
      </c>
      <c r="K120" s="7" t="n">
        <v>5000</v>
      </c>
      <c r="L120" s="9" t="n">
        <f aca="false">H120*I120*(1-J120)</f>
        <v>43200</v>
      </c>
      <c r="M120" s="9" t="n">
        <f aca="false">L120-H120*K120</f>
        <v>23200</v>
      </c>
      <c r="N120" s="2" t="s">
        <v>34</v>
      </c>
    </row>
    <row r="121" customFormat="false" ht="15" hidden="false" customHeight="false" outlineLevel="0" collapsed="false">
      <c r="A121" s="2" t="s">
        <v>191</v>
      </c>
      <c r="B121" s="5" t="n">
        <v>46078</v>
      </c>
      <c r="C121" s="2" t="s">
        <v>36</v>
      </c>
      <c r="D121" s="2" t="s">
        <v>62</v>
      </c>
      <c r="E121" s="2" t="s">
        <v>82</v>
      </c>
      <c r="F121" s="2" t="s">
        <v>85</v>
      </c>
      <c r="G121" s="2" t="s">
        <v>33</v>
      </c>
      <c r="H121" s="6" t="n">
        <v>1</v>
      </c>
      <c r="I121" s="7" t="n">
        <v>2400</v>
      </c>
      <c r="J121" s="8" t="n">
        <v>0.2</v>
      </c>
      <c r="K121" s="7" t="n">
        <v>900</v>
      </c>
      <c r="L121" s="9" t="n">
        <f aca="false">H121*I121*(1-J121)</f>
        <v>1920</v>
      </c>
      <c r="M121" s="9" t="n">
        <f aca="false">L121-H121*K121</f>
        <v>1020</v>
      </c>
      <c r="N121" s="2" t="s">
        <v>34</v>
      </c>
    </row>
    <row r="122" customFormat="false" ht="15" hidden="false" customHeight="false" outlineLevel="0" collapsed="false">
      <c r="A122" s="2" t="s">
        <v>192</v>
      </c>
      <c r="B122" s="5" t="n">
        <v>46078</v>
      </c>
      <c r="C122" s="2" t="s">
        <v>29</v>
      </c>
      <c r="D122" s="2" t="s">
        <v>30</v>
      </c>
      <c r="E122" s="2" t="s">
        <v>57</v>
      </c>
      <c r="F122" s="2" t="s">
        <v>50</v>
      </c>
      <c r="G122" s="2" t="s">
        <v>40</v>
      </c>
      <c r="H122" s="6" t="n">
        <v>25</v>
      </c>
      <c r="I122" s="7" t="n">
        <v>1450</v>
      </c>
      <c r="J122" s="8" t="n">
        <v>0.2</v>
      </c>
      <c r="K122" s="7" t="n">
        <v>1050</v>
      </c>
      <c r="L122" s="9" t="n">
        <f aca="false">H122*I122*(1-J122)</f>
        <v>29000</v>
      </c>
      <c r="M122" s="9" t="n">
        <f aca="false">L122-H122*K122</f>
        <v>2750</v>
      </c>
      <c r="N122" s="2" t="s">
        <v>34</v>
      </c>
    </row>
    <row r="123" customFormat="false" ht="15" hidden="false" customHeight="false" outlineLevel="0" collapsed="false">
      <c r="A123" s="2" t="s">
        <v>193</v>
      </c>
      <c r="B123" s="5" t="n">
        <v>46079</v>
      </c>
      <c r="C123" s="2" t="s">
        <v>29</v>
      </c>
      <c r="D123" s="2" t="s">
        <v>48</v>
      </c>
      <c r="E123" s="2" t="s">
        <v>120</v>
      </c>
      <c r="F123" s="2" t="s">
        <v>88</v>
      </c>
      <c r="G123" s="2" t="s">
        <v>69</v>
      </c>
      <c r="H123" s="6" t="n">
        <v>3</v>
      </c>
      <c r="I123" s="7" t="n">
        <v>1800</v>
      </c>
      <c r="J123" s="8" t="n">
        <v>0.2</v>
      </c>
      <c r="K123" s="7" t="n">
        <v>1000</v>
      </c>
      <c r="L123" s="9" t="n">
        <f aca="false">H123*I123*(1-J123)</f>
        <v>4320</v>
      </c>
      <c r="M123" s="9" t="n">
        <f aca="false">L123-H123*K123</f>
        <v>1320</v>
      </c>
      <c r="N123" s="2" t="s">
        <v>34</v>
      </c>
    </row>
    <row r="124" customFormat="false" ht="15" hidden="false" customHeight="false" outlineLevel="0" collapsed="false">
      <c r="A124" s="2" t="s">
        <v>194</v>
      </c>
      <c r="B124" s="5" t="n">
        <v>46079</v>
      </c>
      <c r="C124" s="2" t="s">
        <v>36</v>
      </c>
      <c r="D124" s="2" t="s">
        <v>62</v>
      </c>
      <c r="E124" s="2" t="s">
        <v>66</v>
      </c>
      <c r="F124" s="2" t="s">
        <v>50</v>
      </c>
      <c r="G124" s="2" t="s">
        <v>40</v>
      </c>
      <c r="H124" s="6" t="n">
        <v>15</v>
      </c>
      <c r="I124" s="7" t="n">
        <v>1450</v>
      </c>
      <c r="J124" s="8" t="n">
        <v>0.15</v>
      </c>
      <c r="K124" s="7" t="n">
        <v>1050</v>
      </c>
      <c r="L124" s="9" t="n">
        <f aca="false">H124*I124*(1-J124)</f>
        <v>18487.5</v>
      </c>
      <c r="M124" s="9" t="n">
        <f aca="false">L124-H124*K124</f>
        <v>2737.5</v>
      </c>
      <c r="N124" s="2" t="s">
        <v>34</v>
      </c>
    </row>
    <row r="125" customFormat="false" ht="15" hidden="false" customHeight="false" outlineLevel="0" collapsed="false">
      <c r="A125" s="2" t="s">
        <v>195</v>
      </c>
      <c r="B125" s="5" t="n">
        <v>46080</v>
      </c>
      <c r="C125" s="2" t="s">
        <v>36</v>
      </c>
      <c r="D125" s="2" t="s">
        <v>37</v>
      </c>
      <c r="E125" s="2" t="s">
        <v>49</v>
      </c>
      <c r="F125" s="2" t="s">
        <v>75</v>
      </c>
      <c r="G125" s="2" t="s">
        <v>33</v>
      </c>
      <c r="H125" s="6" t="n">
        <v>4</v>
      </c>
      <c r="I125" s="7" t="n">
        <v>12000</v>
      </c>
      <c r="J125" s="8" t="n">
        <v>0.15</v>
      </c>
      <c r="K125" s="7" t="n">
        <v>5000</v>
      </c>
      <c r="L125" s="9" t="n">
        <f aca="false">H125*I125*(1-J125)</f>
        <v>40800</v>
      </c>
      <c r="M125" s="9" t="n">
        <f aca="false">L125-H125*K125</f>
        <v>20800</v>
      </c>
      <c r="N125" s="2" t="s">
        <v>64</v>
      </c>
    </row>
    <row r="126" customFormat="false" ht="15" hidden="false" customHeight="false" outlineLevel="0" collapsed="false">
      <c r="A126" s="2" t="s">
        <v>196</v>
      </c>
      <c r="B126" s="5" t="n">
        <v>46080</v>
      </c>
      <c r="C126" s="2" t="s">
        <v>43</v>
      </c>
      <c r="D126" s="2" t="s">
        <v>44</v>
      </c>
      <c r="E126" s="2" t="s">
        <v>63</v>
      </c>
      <c r="F126" s="2" t="s">
        <v>50</v>
      </c>
      <c r="G126" s="2" t="s">
        <v>40</v>
      </c>
      <c r="H126" s="6" t="n">
        <v>5</v>
      </c>
      <c r="I126" s="7" t="n">
        <v>1450</v>
      </c>
      <c r="J126" s="8" t="n">
        <v>0.15</v>
      </c>
      <c r="K126" s="7" t="n">
        <v>1050</v>
      </c>
      <c r="L126" s="9" t="n">
        <f aca="false">H126*I126*(1-J126)</f>
        <v>6162.5</v>
      </c>
      <c r="M126" s="9" t="n">
        <f aca="false">L126-H126*K126</f>
        <v>912.5</v>
      </c>
      <c r="N126" s="2" t="s">
        <v>34</v>
      </c>
    </row>
    <row r="127" customFormat="false" ht="15" hidden="false" customHeight="false" outlineLevel="0" collapsed="false">
      <c r="A127" s="2" t="s">
        <v>197</v>
      </c>
      <c r="B127" s="5" t="n">
        <v>46083</v>
      </c>
      <c r="C127" s="2" t="s">
        <v>36</v>
      </c>
      <c r="D127" s="2" t="s">
        <v>62</v>
      </c>
      <c r="E127" s="2" t="s">
        <v>106</v>
      </c>
      <c r="F127" s="2" t="s">
        <v>88</v>
      </c>
      <c r="G127" s="2" t="s">
        <v>69</v>
      </c>
      <c r="H127" s="6" t="n">
        <v>20</v>
      </c>
      <c r="I127" s="7" t="n">
        <v>1800</v>
      </c>
      <c r="J127" s="8" t="n">
        <v>0</v>
      </c>
      <c r="K127" s="7" t="n">
        <v>1000</v>
      </c>
      <c r="L127" s="9" t="n">
        <f aca="false">H127*I127*(1-J127)</f>
        <v>36000</v>
      </c>
      <c r="M127" s="9" t="n">
        <f aca="false">L127-H127*K127</f>
        <v>16000</v>
      </c>
      <c r="N127" s="2" t="s">
        <v>34</v>
      </c>
    </row>
    <row r="128" customFormat="false" ht="15" hidden="false" customHeight="false" outlineLevel="0" collapsed="false">
      <c r="A128" s="2" t="s">
        <v>198</v>
      </c>
      <c r="B128" s="5" t="n">
        <v>46084</v>
      </c>
      <c r="C128" s="2" t="s">
        <v>43</v>
      </c>
      <c r="D128" s="2" t="s">
        <v>91</v>
      </c>
      <c r="E128" s="2" t="s">
        <v>38</v>
      </c>
      <c r="F128" s="2" t="s">
        <v>46</v>
      </c>
      <c r="G128" s="2" t="s">
        <v>40</v>
      </c>
      <c r="H128" s="6" t="n">
        <v>20</v>
      </c>
      <c r="I128" s="7" t="n">
        <v>320</v>
      </c>
      <c r="J128" s="8" t="n">
        <v>0</v>
      </c>
      <c r="K128" s="7" t="n">
        <v>240</v>
      </c>
      <c r="L128" s="9" t="n">
        <f aca="false">H128*I128*(1-J128)</f>
        <v>6400</v>
      </c>
      <c r="M128" s="9" t="n">
        <f aca="false">L128-H128*K128</f>
        <v>1600</v>
      </c>
      <c r="N128" s="2" t="s">
        <v>34</v>
      </c>
    </row>
    <row r="129" customFormat="false" ht="15" hidden="false" customHeight="false" outlineLevel="0" collapsed="false">
      <c r="A129" s="2" t="s">
        <v>199</v>
      </c>
      <c r="B129" s="5" t="n">
        <v>46089</v>
      </c>
      <c r="C129" s="2" t="s">
        <v>52</v>
      </c>
      <c r="D129" s="2" t="s">
        <v>53</v>
      </c>
      <c r="E129" s="2" t="s">
        <v>31</v>
      </c>
      <c r="F129" s="2" t="s">
        <v>144</v>
      </c>
      <c r="G129" s="2" t="s">
        <v>40</v>
      </c>
      <c r="H129" s="6" t="n">
        <v>15</v>
      </c>
      <c r="I129" s="7" t="n">
        <v>450</v>
      </c>
      <c r="J129" s="8" t="n">
        <v>0.2</v>
      </c>
      <c r="K129" s="7" t="n">
        <v>410</v>
      </c>
      <c r="L129" s="9" t="n">
        <f aca="false">H129*I129*(1-J129)</f>
        <v>5400</v>
      </c>
      <c r="M129" s="9" t="n">
        <f aca="false">L129-H129*K129</f>
        <v>-750</v>
      </c>
      <c r="N129" s="2" t="s">
        <v>34</v>
      </c>
    </row>
    <row r="130" customFormat="false" ht="15" hidden="false" customHeight="false" outlineLevel="0" collapsed="false">
      <c r="A130" s="2" t="s">
        <v>200</v>
      </c>
      <c r="B130" s="5" t="n">
        <v>46090</v>
      </c>
      <c r="C130" s="2" t="s">
        <v>43</v>
      </c>
      <c r="D130" s="2" t="s">
        <v>44</v>
      </c>
      <c r="E130" s="2" t="s">
        <v>120</v>
      </c>
      <c r="F130" s="2" t="s">
        <v>50</v>
      </c>
      <c r="G130" s="2" t="s">
        <v>40</v>
      </c>
      <c r="H130" s="6" t="n">
        <v>15</v>
      </c>
      <c r="I130" s="7" t="n">
        <v>1450</v>
      </c>
      <c r="J130" s="8" t="n">
        <v>0</v>
      </c>
      <c r="K130" s="7" t="n">
        <v>1050</v>
      </c>
      <c r="L130" s="9" t="n">
        <f aca="false">H130*I130*(1-J130)</f>
        <v>21750</v>
      </c>
      <c r="M130" s="9" t="n">
        <f aca="false">L130-H130*K130</f>
        <v>6000</v>
      </c>
      <c r="N130" s="2" t="s">
        <v>34</v>
      </c>
    </row>
    <row r="131" customFormat="false" ht="15" hidden="false" customHeight="false" outlineLevel="0" collapsed="false">
      <c r="A131" s="2" t="s">
        <v>201</v>
      </c>
      <c r="B131" s="5" t="n">
        <v>46090</v>
      </c>
      <c r="C131" s="2" t="s">
        <v>52</v>
      </c>
      <c r="D131" s="2" t="s">
        <v>53</v>
      </c>
      <c r="E131" s="2" t="s">
        <v>79</v>
      </c>
      <c r="F131" s="2" t="s">
        <v>98</v>
      </c>
      <c r="G131" s="2" t="s">
        <v>69</v>
      </c>
      <c r="H131" s="6" t="n">
        <v>5</v>
      </c>
      <c r="I131" s="7" t="n">
        <v>3500</v>
      </c>
      <c r="J131" s="8" t="n">
        <v>0</v>
      </c>
      <c r="K131" s="7" t="n">
        <v>1400</v>
      </c>
      <c r="L131" s="9" t="n">
        <f aca="false">H131*I131*(1-J131)</f>
        <v>17500</v>
      </c>
      <c r="M131" s="9" t="n">
        <f aca="false">L131-H131*K131</f>
        <v>10500</v>
      </c>
      <c r="N131" s="2" t="s">
        <v>34</v>
      </c>
    </row>
    <row r="132" customFormat="false" ht="15" hidden="false" customHeight="false" outlineLevel="0" collapsed="false">
      <c r="A132" s="2" t="s">
        <v>202</v>
      </c>
      <c r="B132" s="5" t="n">
        <v>46090</v>
      </c>
      <c r="C132" s="2" t="s">
        <v>43</v>
      </c>
      <c r="D132" s="2" t="s">
        <v>44</v>
      </c>
      <c r="E132" s="2" t="s">
        <v>82</v>
      </c>
      <c r="F132" s="2" t="s">
        <v>46</v>
      </c>
      <c r="G132" s="2" t="s">
        <v>40</v>
      </c>
      <c r="H132" s="6" t="n">
        <v>5</v>
      </c>
      <c r="I132" s="7" t="n">
        <v>320</v>
      </c>
      <c r="J132" s="8" t="n">
        <v>0.15</v>
      </c>
      <c r="K132" s="7" t="n">
        <v>240</v>
      </c>
      <c r="L132" s="9" t="n">
        <f aca="false">H132*I132*(1-J132)</f>
        <v>1360</v>
      </c>
      <c r="M132" s="9" t="n">
        <f aca="false">L132-H132*K132</f>
        <v>160</v>
      </c>
      <c r="N132" s="2" t="s">
        <v>34</v>
      </c>
    </row>
    <row r="133" customFormat="false" ht="15" hidden="false" customHeight="false" outlineLevel="0" collapsed="false">
      <c r="A133" s="2" t="s">
        <v>203</v>
      </c>
      <c r="B133" s="5" t="n">
        <v>46091</v>
      </c>
      <c r="C133" s="2" t="s">
        <v>52</v>
      </c>
      <c r="D133" s="2" t="s">
        <v>53</v>
      </c>
      <c r="E133" s="2" t="s">
        <v>84</v>
      </c>
      <c r="F133" s="2" t="s">
        <v>85</v>
      </c>
      <c r="G133" s="2" t="s">
        <v>33</v>
      </c>
      <c r="H133" s="6" t="n">
        <v>4</v>
      </c>
      <c r="I133" s="7" t="n">
        <v>2400</v>
      </c>
      <c r="J133" s="8" t="n">
        <v>0</v>
      </c>
      <c r="K133" s="7" t="n">
        <v>900</v>
      </c>
      <c r="L133" s="9" t="n">
        <f aca="false">H133*I133*(1-J133)</f>
        <v>9600</v>
      </c>
      <c r="M133" s="9" t="n">
        <f aca="false">L133-H133*K133</f>
        <v>6000</v>
      </c>
      <c r="N133" s="2" t="s">
        <v>34</v>
      </c>
    </row>
    <row r="134" customFormat="false" ht="15" hidden="false" customHeight="false" outlineLevel="0" collapsed="false">
      <c r="A134" s="2" t="s">
        <v>204</v>
      </c>
      <c r="B134" s="5" t="n">
        <v>46091</v>
      </c>
      <c r="C134" s="2" t="s">
        <v>36</v>
      </c>
      <c r="D134" s="2" t="s">
        <v>37</v>
      </c>
      <c r="E134" s="2" t="s">
        <v>57</v>
      </c>
      <c r="F134" s="2" t="s">
        <v>73</v>
      </c>
      <c r="G134" s="2" t="s">
        <v>33</v>
      </c>
      <c r="H134" s="6" t="n">
        <v>4</v>
      </c>
      <c r="I134" s="7" t="n">
        <v>6200</v>
      </c>
      <c r="J134" s="8" t="n">
        <v>0.1</v>
      </c>
      <c r="K134" s="7" t="n">
        <v>2600</v>
      </c>
      <c r="L134" s="9" t="n">
        <f aca="false">H134*I134*(1-J134)</f>
        <v>22320</v>
      </c>
      <c r="M134" s="9" t="n">
        <f aca="false">L134-H134*K134</f>
        <v>11920</v>
      </c>
      <c r="N134" s="2" t="s">
        <v>34</v>
      </c>
    </row>
    <row r="135" customFormat="false" ht="15" hidden="false" customHeight="false" outlineLevel="0" collapsed="false">
      <c r="A135" s="2" t="s">
        <v>205</v>
      </c>
      <c r="B135" s="5" t="n">
        <v>46093</v>
      </c>
      <c r="C135" s="2" t="s">
        <v>36</v>
      </c>
      <c r="D135" s="2" t="s">
        <v>37</v>
      </c>
      <c r="E135" s="2" t="s">
        <v>31</v>
      </c>
      <c r="F135" s="2" t="s">
        <v>32</v>
      </c>
      <c r="G135" s="2" t="s">
        <v>33</v>
      </c>
      <c r="H135" s="6" t="n">
        <v>3</v>
      </c>
      <c r="I135" s="7" t="n">
        <v>8500</v>
      </c>
      <c r="J135" s="8" t="n">
        <v>0.2</v>
      </c>
      <c r="K135" s="7" t="n">
        <v>3200</v>
      </c>
      <c r="L135" s="9" t="n">
        <f aca="false">H135*I135*(1-J135)</f>
        <v>20400</v>
      </c>
      <c r="M135" s="9" t="n">
        <f aca="false">L135-H135*K135</f>
        <v>10800</v>
      </c>
      <c r="N135" s="2" t="s">
        <v>34</v>
      </c>
    </row>
    <row r="136" customFormat="false" ht="15" hidden="false" customHeight="false" outlineLevel="0" collapsed="false">
      <c r="A136" s="2" t="s">
        <v>206</v>
      </c>
      <c r="B136" s="5" t="n">
        <v>46095</v>
      </c>
      <c r="C136" s="2" t="s">
        <v>36</v>
      </c>
      <c r="D136" s="2" t="s">
        <v>62</v>
      </c>
      <c r="E136" s="2" t="s">
        <v>45</v>
      </c>
      <c r="F136" s="2" t="s">
        <v>50</v>
      </c>
      <c r="G136" s="2" t="s">
        <v>40</v>
      </c>
      <c r="H136" s="6" t="n">
        <v>25</v>
      </c>
      <c r="I136" s="7" t="n">
        <v>1450</v>
      </c>
      <c r="J136" s="8" t="n">
        <v>0.05</v>
      </c>
      <c r="K136" s="7" t="n">
        <v>1050</v>
      </c>
      <c r="L136" s="9" t="n">
        <f aca="false">H136*I136*(1-J136)</f>
        <v>34437.5</v>
      </c>
      <c r="M136" s="9" t="n">
        <f aca="false">L136-H136*K136</f>
        <v>8187.5</v>
      </c>
      <c r="N136" s="2" t="s">
        <v>34</v>
      </c>
    </row>
    <row r="137" customFormat="false" ht="15" hidden="false" customHeight="false" outlineLevel="0" collapsed="false">
      <c r="A137" s="2" t="s">
        <v>207</v>
      </c>
      <c r="B137" s="5" t="n">
        <v>46095</v>
      </c>
      <c r="C137" s="2" t="s">
        <v>29</v>
      </c>
      <c r="D137" s="2" t="s">
        <v>30</v>
      </c>
      <c r="E137" s="2" t="s">
        <v>54</v>
      </c>
      <c r="F137" s="2" t="s">
        <v>50</v>
      </c>
      <c r="G137" s="2" t="s">
        <v>40</v>
      </c>
      <c r="H137" s="6" t="n">
        <v>3</v>
      </c>
      <c r="I137" s="7" t="n">
        <v>1450</v>
      </c>
      <c r="J137" s="8" t="n">
        <v>0.1</v>
      </c>
      <c r="K137" s="7" t="n">
        <v>1050</v>
      </c>
      <c r="L137" s="9" t="n">
        <f aca="false">H137*I137*(1-J137)</f>
        <v>3915</v>
      </c>
      <c r="M137" s="9" t="n">
        <f aca="false">L137-H137*K137</f>
        <v>765</v>
      </c>
      <c r="N137" s="2" t="s">
        <v>34</v>
      </c>
    </row>
    <row r="138" customFormat="false" ht="15" hidden="false" customHeight="false" outlineLevel="0" collapsed="false">
      <c r="A138" s="2" t="s">
        <v>208</v>
      </c>
      <c r="B138" s="5" t="n">
        <v>46096</v>
      </c>
      <c r="C138" s="2" t="s">
        <v>36</v>
      </c>
      <c r="D138" s="2" t="s">
        <v>62</v>
      </c>
      <c r="E138" s="2" t="s">
        <v>109</v>
      </c>
      <c r="F138" s="2" t="s">
        <v>46</v>
      </c>
      <c r="G138" s="2" t="s">
        <v>40</v>
      </c>
      <c r="H138" s="6" t="n">
        <v>3</v>
      </c>
      <c r="I138" s="7" t="n">
        <v>320</v>
      </c>
      <c r="J138" s="8" t="n">
        <v>0</v>
      </c>
      <c r="K138" s="7" t="n">
        <v>240</v>
      </c>
      <c r="L138" s="9" t="n">
        <f aca="false">H138*I138*(1-J138)</f>
        <v>960</v>
      </c>
      <c r="M138" s="9" t="n">
        <f aca="false">L138-H138*K138</f>
        <v>240</v>
      </c>
      <c r="N138" s="2" t="s">
        <v>34</v>
      </c>
    </row>
    <row r="139" customFormat="false" ht="15" hidden="false" customHeight="false" outlineLevel="0" collapsed="false">
      <c r="A139" s="2" t="s">
        <v>209</v>
      </c>
      <c r="B139" s="5" t="n">
        <v>46098</v>
      </c>
      <c r="C139" s="2" t="s">
        <v>36</v>
      </c>
      <c r="D139" s="2" t="s">
        <v>37</v>
      </c>
      <c r="E139" s="2" t="s">
        <v>66</v>
      </c>
      <c r="F139" s="2" t="s">
        <v>50</v>
      </c>
      <c r="G139" s="2" t="s">
        <v>40</v>
      </c>
      <c r="H139" s="6" t="n">
        <v>1</v>
      </c>
      <c r="I139" s="7" t="n">
        <v>1450</v>
      </c>
      <c r="J139" s="8" t="n">
        <v>0.05</v>
      </c>
      <c r="K139" s="7" t="n">
        <v>1050</v>
      </c>
      <c r="L139" s="9" t="n">
        <f aca="false">H139*I139*(1-J139)</f>
        <v>1377.5</v>
      </c>
      <c r="M139" s="9" t="n">
        <f aca="false">L139-H139*K139</f>
        <v>327.5</v>
      </c>
      <c r="N139" s="2" t="s">
        <v>34</v>
      </c>
    </row>
    <row r="140" customFormat="false" ht="15" hidden="false" customHeight="false" outlineLevel="0" collapsed="false">
      <c r="A140" s="2" t="s">
        <v>210</v>
      </c>
      <c r="B140" s="5" t="n">
        <v>46098</v>
      </c>
      <c r="C140" s="2" t="s">
        <v>43</v>
      </c>
      <c r="D140" s="2" t="s">
        <v>44</v>
      </c>
      <c r="E140" s="2" t="s">
        <v>63</v>
      </c>
      <c r="F140" s="2" t="s">
        <v>88</v>
      </c>
      <c r="G140" s="2" t="s">
        <v>69</v>
      </c>
      <c r="H140" s="6" t="n">
        <v>15</v>
      </c>
      <c r="I140" s="7" t="n">
        <v>1800</v>
      </c>
      <c r="J140" s="8" t="n">
        <v>0</v>
      </c>
      <c r="K140" s="7" t="n">
        <v>1000</v>
      </c>
      <c r="L140" s="9" t="n">
        <f aca="false">H140*I140*(1-J140)</f>
        <v>27000</v>
      </c>
      <c r="M140" s="9" t="n">
        <f aca="false">L140-H140*K140</f>
        <v>12000</v>
      </c>
      <c r="N140" s="2" t="s">
        <v>34</v>
      </c>
    </row>
    <row r="141" customFormat="false" ht="15" hidden="false" customHeight="false" outlineLevel="0" collapsed="false">
      <c r="A141" s="2" t="s">
        <v>211</v>
      </c>
      <c r="B141" s="5" t="n">
        <v>46099</v>
      </c>
      <c r="C141" s="2" t="s">
        <v>43</v>
      </c>
      <c r="D141" s="2" t="s">
        <v>44</v>
      </c>
      <c r="E141" s="2" t="s">
        <v>109</v>
      </c>
      <c r="F141" s="2" t="s">
        <v>73</v>
      </c>
      <c r="G141" s="2" t="s">
        <v>33</v>
      </c>
      <c r="H141" s="6" t="n">
        <v>1</v>
      </c>
      <c r="I141" s="7" t="n">
        <v>6200</v>
      </c>
      <c r="J141" s="8" t="n">
        <v>0.2</v>
      </c>
      <c r="K141" s="7" t="n">
        <v>2600</v>
      </c>
      <c r="L141" s="9" t="n">
        <f aca="false">H141*I141*(1-J141)</f>
        <v>4960</v>
      </c>
      <c r="M141" s="9" t="n">
        <f aca="false">L141-H141*K141</f>
        <v>2360</v>
      </c>
      <c r="N141" s="2" t="s">
        <v>34</v>
      </c>
    </row>
    <row r="142" customFormat="false" ht="15" hidden="false" customHeight="false" outlineLevel="0" collapsed="false">
      <c r="A142" s="2" t="s">
        <v>212</v>
      </c>
      <c r="B142" s="5" t="n">
        <v>46099</v>
      </c>
      <c r="C142" s="2" t="s">
        <v>29</v>
      </c>
      <c r="D142" s="2" t="s">
        <v>48</v>
      </c>
      <c r="E142" s="2" t="s">
        <v>109</v>
      </c>
      <c r="F142" s="2" t="s">
        <v>80</v>
      </c>
      <c r="G142" s="2" t="s">
        <v>40</v>
      </c>
      <c r="H142" s="6" t="n">
        <v>4</v>
      </c>
      <c r="I142" s="7" t="n">
        <v>9800</v>
      </c>
      <c r="J142" s="8" t="n">
        <v>0.2</v>
      </c>
      <c r="K142" s="7" t="n">
        <v>7200</v>
      </c>
      <c r="L142" s="9" t="n">
        <f aca="false">H142*I142*(1-J142)</f>
        <v>31360</v>
      </c>
      <c r="M142" s="9" t="n">
        <f aca="false">L142-H142*K142</f>
        <v>2560</v>
      </c>
      <c r="N142" s="2" t="s">
        <v>34</v>
      </c>
    </row>
    <row r="143" customFormat="false" ht="15" hidden="false" customHeight="false" outlineLevel="0" collapsed="false">
      <c r="A143" s="2" t="s">
        <v>213</v>
      </c>
      <c r="B143" s="5" t="n">
        <v>46101</v>
      </c>
      <c r="C143" s="2" t="s">
        <v>43</v>
      </c>
      <c r="D143" s="2" t="s">
        <v>91</v>
      </c>
      <c r="E143" s="2" t="s">
        <v>63</v>
      </c>
      <c r="F143" s="2" t="s">
        <v>32</v>
      </c>
      <c r="G143" s="2" t="s">
        <v>33</v>
      </c>
      <c r="H143" s="6" t="n">
        <v>2</v>
      </c>
      <c r="I143" s="7" t="n">
        <v>8500</v>
      </c>
      <c r="J143" s="8" t="n">
        <v>0.05</v>
      </c>
      <c r="K143" s="7" t="n">
        <v>3200</v>
      </c>
      <c r="L143" s="9" t="n">
        <f aca="false">H143*I143*(1-J143)</f>
        <v>16150</v>
      </c>
      <c r="M143" s="9" t="n">
        <f aca="false">L143-H143*K143</f>
        <v>9750</v>
      </c>
      <c r="N143" s="2" t="s">
        <v>34</v>
      </c>
    </row>
    <row r="144" customFormat="false" ht="15" hidden="false" customHeight="false" outlineLevel="0" collapsed="false">
      <c r="A144" s="2" t="s">
        <v>214</v>
      </c>
      <c r="B144" s="5" t="n">
        <v>46102</v>
      </c>
      <c r="C144" s="2" t="s">
        <v>29</v>
      </c>
      <c r="D144" s="2" t="s">
        <v>48</v>
      </c>
      <c r="E144" s="2" t="s">
        <v>106</v>
      </c>
      <c r="F144" s="2" t="s">
        <v>50</v>
      </c>
      <c r="G144" s="2" t="s">
        <v>40</v>
      </c>
      <c r="H144" s="6" t="n">
        <v>8</v>
      </c>
      <c r="I144" s="7" t="n">
        <v>1450</v>
      </c>
      <c r="J144" s="8" t="n">
        <v>0</v>
      </c>
      <c r="K144" s="7" t="n">
        <v>1050</v>
      </c>
      <c r="L144" s="9" t="n">
        <f aca="false">H144*I144*(1-J144)</f>
        <v>11600</v>
      </c>
      <c r="M144" s="9" t="n">
        <f aca="false">L144-H144*K144</f>
        <v>3200</v>
      </c>
      <c r="N144" s="2" t="s">
        <v>34</v>
      </c>
    </row>
    <row r="145" customFormat="false" ht="15" hidden="false" customHeight="false" outlineLevel="0" collapsed="false">
      <c r="A145" s="2" t="s">
        <v>215</v>
      </c>
      <c r="B145" s="5" t="n">
        <v>46102</v>
      </c>
      <c r="C145" s="2" t="s">
        <v>52</v>
      </c>
      <c r="D145" s="2" t="s">
        <v>53</v>
      </c>
      <c r="E145" s="2" t="s">
        <v>57</v>
      </c>
      <c r="F145" s="2" t="s">
        <v>75</v>
      </c>
      <c r="G145" s="2" t="s">
        <v>33</v>
      </c>
      <c r="H145" s="6" t="n">
        <v>3</v>
      </c>
      <c r="I145" s="7" t="n">
        <v>12000</v>
      </c>
      <c r="J145" s="8" t="n">
        <v>0.1</v>
      </c>
      <c r="K145" s="7" t="n">
        <v>5000</v>
      </c>
      <c r="L145" s="9" t="n">
        <f aca="false">H145*I145*(1-J145)</f>
        <v>32400</v>
      </c>
      <c r="M145" s="9" t="n">
        <f aca="false">L145-H145*K145</f>
        <v>17400</v>
      </c>
      <c r="N145" s="2" t="s">
        <v>34</v>
      </c>
    </row>
    <row r="146" customFormat="false" ht="15" hidden="false" customHeight="false" outlineLevel="0" collapsed="false">
      <c r="A146" s="2" t="s">
        <v>216</v>
      </c>
      <c r="B146" s="5" t="n">
        <v>46104</v>
      </c>
      <c r="C146" s="2" t="s">
        <v>29</v>
      </c>
      <c r="D146" s="2" t="s">
        <v>30</v>
      </c>
      <c r="E146" s="2" t="s">
        <v>82</v>
      </c>
      <c r="F146" s="2" t="s">
        <v>85</v>
      </c>
      <c r="G146" s="2" t="s">
        <v>33</v>
      </c>
      <c r="H146" s="6" t="n">
        <v>8</v>
      </c>
      <c r="I146" s="7" t="n">
        <v>2400</v>
      </c>
      <c r="J146" s="8" t="n">
        <v>0.2</v>
      </c>
      <c r="K146" s="7" t="n">
        <v>900</v>
      </c>
      <c r="L146" s="9" t="n">
        <f aca="false">H146*I146*(1-J146)</f>
        <v>15360</v>
      </c>
      <c r="M146" s="9" t="n">
        <f aca="false">L146-H146*K146</f>
        <v>8160</v>
      </c>
      <c r="N146" s="2" t="s">
        <v>34</v>
      </c>
    </row>
    <row r="147" customFormat="false" ht="15" hidden="false" customHeight="false" outlineLevel="0" collapsed="false">
      <c r="A147" s="2" t="s">
        <v>217</v>
      </c>
      <c r="B147" s="5" t="n">
        <v>46105</v>
      </c>
      <c r="C147" s="2" t="s">
        <v>43</v>
      </c>
      <c r="D147" s="2" t="s">
        <v>44</v>
      </c>
      <c r="E147" s="2" t="s">
        <v>31</v>
      </c>
      <c r="F147" s="2" t="s">
        <v>50</v>
      </c>
      <c r="G147" s="2" t="s">
        <v>40</v>
      </c>
      <c r="H147" s="6" t="n">
        <v>20</v>
      </c>
      <c r="I147" s="7" t="n">
        <v>1450</v>
      </c>
      <c r="J147" s="8" t="n">
        <v>0.05</v>
      </c>
      <c r="K147" s="7" t="n">
        <v>1050</v>
      </c>
      <c r="L147" s="9" t="n">
        <f aca="false">H147*I147*(1-J147)</f>
        <v>27550</v>
      </c>
      <c r="M147" s="9" t="n">
        <f aca="false">L147-H147*K147</f>
        <v>6550</v>
      </c>
      <c r="N147" s="2" t="s">
        <v>34</v>
      </c>
    </row>
    <row r="148" customFormat="false" ht="15" hidden="false" customHeight="false" outlineLevel="0" collapsed="false">
      <c r="A148" s="2" t="s">
        <v>218</v>
      </c>
      <c r="B148" s="5" t="n">
        <v>46106</v>
      </c>
      <c r="C148" s="2" t="s">
        <v>43</v>
      </c>
      <c r="D148" s="2" t="s">
        <v>44</v>
      </c>
      <c r="E148" s="2" t="s">
        <v>84</v>
      </c>
      <c r="F148" s="2" t="s">
        <v>50</v>
      </c>
      <c r="G148" s="2" t="s">
        <v>40</v>
      </c>
      <c r="H148" s="6" t="n">
        <v>8</v>
      </c>
      <c r="I148" s="7" t="n">
        <v>1450</v>
      </c>
      <c r="J148" s="8" t="n">
        <v>0.05</v>
      </c>
      <c r="K148" s="7" t="n">
        <v>1050</v>
      </c>
      <c r="L148" s="9" t="n">
        <f aca="false">H148*I148*(1-J148)</f>
        <v>11020</v>
      </c>
      <c r="M148" s="9" t="n">
        <f aca="false">L148-H148*K148</f>
        <v>2620</v>
      </c>
      <c r="N148" s="2" t="s">
        <v>34</v>
      </c>
    </row>
    <row r="149" customFormat="false" ht="15" hidden="false" customHeight="false" outlineLevel="0" collapsed="false">
      <c r="A149" s="2" t="s">
        <v>219</v>
      </c>
      <c r="B149" s="5" t="n">
        <v>46107</v>
      </c>
      <c r="C149" s="2" t="s">
        <v>36</v>
      </c>
      <c r="D149" s="2" t="s">
        <v>62</v>
      </c>
      <c r="E149" s="2" t="s">
        <v>57</v>
      </c>
      <c r="F149" s="2" t="s">
        <v>85</v>
      </c>
      <c r="G149" s="2" t="s">
        <v>33</v>
      </c>
      <c r="H149" s="6" t="n">
        <v>2</v>
      </c>
      <c r="I149" s="7" t="n">
        <v>2400</v>
      </c>
      <c r="J149" s="8" t="n">
        <v>0</v>
      </c>
      <c r="K149" s="7" t="n">
        <v>900</v>
      </c>
      <c r="L149" s="9" t="n">
        <f aca="false">H149*I149*(1-J149)</f>
        <v>4800</v>
      </c>
      <c r="M149" s="9" t="n">
        <f aca="false">L149-H149*K149</f>
        <v>3000</v>
      </c>
      <c r="N149" s="2" t="s">
        <v>34</v>
      </c>
    </row>
    <row r="150" customFormat="false" ht="15" hidden="false" customHeight="false" outlineLevel="0" collapsed="false">
      <c r="A150" s="2" t="s">
        <v>220</v>
      </c>
      <c r="B150" s="5" t="n">
        <v>46108</v>
      </c>
      <c r="C150" s="2" t="s">
        <v>52</v>
      </c>
      <c r="D150" s="2" t="s">
        <v>53</v>
      </c>
      <c r="E150" s="2" t="s">
        <v>82</v>
      </c>
      <c r="F150" s="2" t="s">
        <v>46</v>
      </c>
      <c r="G150" s="2" t="s">
        <v>40</v>
      </c>
      <c r="H150" s="6" t="n">
        <v>2</v>
      </c>
      <c r="I150" s="7" t="n">
        <v>320</v>
      </c>
      <c r="J150" s="8" t="n">
        <v>0.2</v>
      </c>
      <c r="K150" s="7" t="n">
        <v>240</v>
      </c>
      <c r="L150" s="9" t="n">
        <f aca="false">H150*I150*(1-J150)</f>
        <v>512</v>
      </c>
      <c r="M150" s="9" t="n">
        <f aca="false">L150-H150*K150</f>
        <v>32</v>
      </c>
      <c r="N150" s="2" t="s">
        <v>34</v>
      </c>
    </row>
    <row r="151" customFormat="false" ht="15" hidden="false" customHeight="false" outlineLevel="0" collapsed="false">
      <c r="A151" s="2" t="s">
        <v>221</v>
      </c>
      <c r="B151" s="5" t="n">
        <v>46109</v>
      </c>
      <c r="C151" s="2" t="s">
        <v>43</v>
      </c>
      <c r="D151" s="2" t="s">
        <v>91</v>
      </c>
      <c r="E151" s="2" t="s">
        <v>66</v>
      </c>
      <c r="F151" s="2" t="s">
        <v>50</v>
      </c>
      <c r="G151" s="2" t="s">
        <v>40</v>
      </c>
      <c r="H151" s="6" t="n">
        <v>25</v>
      </c>
      <c r="I151" s="7" t="n">
        <v>1450</v>
      </c>
      <c r="J151" s="8" t="n">
        <v>0.05</v>
      </c>
      <c r="K151" s="7" t="n">
        <v>1050</v>
      </c>
      <c r="L151" s="9" t="n">
        <f aca="false">H151*I151*(1-J151)</f>
        <v>34437.5</v>
      </c>
      <c r="M151" s="9" t="n">
        <f aca="false">L151-H151*K151</f>
        <v>8187.5</v>
      </c>
      <c r="N151" s="2" t="s">
        <v>34</v>
      </c>
    </row>
    <row r="152" customFormat="false" ht="15" hidden="false" customHeight="false" outlineLevel="0" collapsed="false">
      <c r="A152" s="2" t="s">
        <v>222</v>
      </c>
      <c r="B152" s="5" t="n">
        <v>46109</v>
      </c>
      <c r="C152" s="2" t="s">
        <v>36</v>
      </c>
      <c r="D152" s="2" t="s">
        <v>37</v>
      </c>
      <c r="E152" s="2" t="s">
        <v>60</v>
      </c>
      <c r="F152" s="2" t="s">
        <v>88</v>
      </c>
      <c r="G152" s="2" t="s">
        <v>69</v>
      </c>
      <c r="H152" s="6" t="n">
        <v>5</v>
      </c>
      <c r="I152" s="7" t="n">
        <v>1800</v>
      </c>
      <c r="J152" s="8" t="n">
        <v>0.2</v>
      </c>
      <c r="K152" s="7" t="n">
        <v>1000</v>
      </c>
      <c r="L152" s="9" t="n">
        <f aca="false">H152*I152*(1-J152)</f>
        <v>7200</v>
      </c>
      <c r="M152" s="9" t="n">
        <f aca="false">L152-H152*K152</f>
        <v>2200</v>
      </c>
      <c r="N152" s="2" t="s">
        <v>34</v>
      </c>
    </row>
    <row r="153" customFormat="false" ht="15" hidden="false" customHeight="false" outlineLevel="0" collapsed="false">
      <c r="A153" s="2" t="s">
        <v>223</v>
      </c>
      <c r="B153" s="5" t="n">
        <v>46111</v>
      </c>
      <c r="C153" s="2" t="s">
        <v>52</v>
      </c>
      <c r="D153" s="2" t="s">
        <v>53</v>
      </c>
      <c r="E153" s="2" t="s">
        <v>120</v>
      </c>
      <c r="F153" s="2" t="s">
        <v>46</v>
      </c>
      <c r="G153" s="2" t="s">
        <v>40</v>
      </c>
      <c r="H153" s="6" t="n">
        <v>8</v>
      </c>
      <c r="I153" s="7" t="n">
        <v>320</v>
      </c>
      <c r="J153" s="8" t="n">
        <v>0.1</v>
      </c>
      <c r="K153" s="7" t="n">
        <v>240</v>
      </c>
      <c r="L153" s="9" t="n">
        <f aca="false">H153*I153*(1-J153)</f>
        <v>2304</v>
      </c>
      <c r="M153" s="9" t="n">
        <f aca="false">L153-H153*K153</f>
        <v>384</v>
      </c>
      <c r="N153" s="2" t="s">
        <v>34</v>
      </c>
    </row>
    <row r="154" customFormat="false" ht="15" hidden="false" customHeight="false" outlineLevel="0" collapsed="false">
      <c r="A154" s="2" t="s">
        <v>224</v>
      </c>
      <c r="B154" s="5" t="n">
        <v>46113</v>
      </c>
      <c r="C154" s="2" t="s">
        <v>52</v>
      </c>
      <c r="D154" s="2" t="s">
        <v>53</v>
      </c>
      <c r="E154" s="2" t="s">
        <v>63</v>
      </c>
      <c r="F154" s="2" t="s">
        <v>80</v>
      </c>
      <c r="G154" s="2" t="s">
        <v>40</v>
      </c>
      <c r="H154" s="6" t="n">
        <v>3</v>
      </c>
      <c r="I154" s="7" t="n">
        <v>9800</v>
      </c>
      <c r="J154" s="8" t="n">
        <v>0.05</v>
      </c>
      <c r="K154" s="7" t="n">
        <v>7200</v>
      </c>
      <c r="L154" s="9" t="n">
        <f aca="false">H154*I154*(1-J154)</f>
        <v>27930</v>
      </c>
      <c r="M154" s="9" t="n">
        <f aca="false">L154-H154*K154</f>
        <v>6330</v>
      </c>
      <c r="N154" s="2" t="s">
        <v>34</v>
      </c>
    </row>
    <row r="155" customFormat="false" ht="15" hidden="false" customHeight="false" outlineLevel="0" collapsed="false">
      <c r="A155" s="2" t="s">
        <v>225</v>
      </c>
      <c r="B155" s="5" t="n">
        <v>46114</v>
      </c>
      <c r="C155" s="2" t="s">
        <v>52</v>
      </c>
      <c r="D155" s="2" t="s">
        <v>72</v>
      </c>
      <c r="E155" s="2" t="s">
        <v>54</v>
      </c>
      <c r="F155" s="2" t="s">
        <v>32</v>
      </c>
      <c r="G155" s="2" t="s">
        <v>33</v>
      </c>
      <c r="H155" s="6" t="n">
        <v>3</v>
      </c>
      <c r="I155" s="7" t="n">
        <v>8500</v>
      </c>
      <c r="J155" s="8" t="n">
        <v>0.05</v>
      </c>
      <c r="K155" s="7" t="n">
        <v>3200</v>
      </c>
      <c r="L155" s="9" t="n">
        <f aca="false">H155*I155*(1-J155)</f>
        <v>24225</v>
      </c>
      <c r="M155" s="9" t="n">
        <f aca="false">L155-H155*K155</f>
        <v>14625</v>
      </c>
      <c r="N155" s="2" t="s">
        <v>34</v>
      </c>
    </row>
    <row r="156" customFormat="false" ht="15" hidden="false" customHeight="false" outlineLevel="0" collapsed="false">
      <c r="A156" s="2" t="s">
        <v>226</v>
      </c>
      <c r="B156" s="5" t="n">
        <v>46116</v>
      </c>
      <c r="C156" s="2" t="s">
        <v>29</v>
      </c>
      <c r="D156" s="2" t="s">
        <v>48</v>
      </c>
      <c r="E156" s="2" t="s">
        <v>45</v>
      </c>
      <c r="F156" s="2" t="s">
        <v>32</v>
      </c>
      <c r="G156" s="2" t="s">
        <v>33</v>
      </c>
      <c r="H156" s="6" t="n">
        <v>2</v>
      </c>
      <c r="I156" s="7" t="n">
        <v>8500</v>
      </c>
      <c r="J156" s="8" t="n">
        <v>0.2</v>
      </c>
      <c r="K156" s="7" t="n">
        <v>3200</v>
      </c>
      <c r="L156" s="9" t="n">
        <f aca="false">H156*I156*(1-J156)</f>
        <v>13600</v>
      </c>
      <c r="M156" s="9" t="n">
        <f aca="false">L156-H156*K156</f>
        <v>7200</v>
      </c>
      <c r="N156" s="2" t="s">
        <v>34</v>
      </c>
    </row>
    <row r="157" customFormat="false" ht="15" hidden="false" customHeight="false" outlineLevel="0" collapsed="false">
      <c r="A157" s="2" t="s">
        <v>227</v>
      </c>
      <c r="B157" s="5" t="n">
        <v>46117</v>
      </c>
      <c r="C157" s="2" t="s">
        <v>43</v>
      </c>
      <c r="D157" s="2" t="s">
        <v>44</v>
      </c>
      <c r="E157" s="2" t="s">
        <v>45</v>
      </c>
      <c r="F157" s="2" t="s">
        <v>75</v>
      </c>
      <c r="G157" s="2" t="s">
        <v>33</v>
      </c>
      <c r="H157" s="6" t="n">
        <v>4</v>
      </c>
      <c r="I157" s="7" t="n">
        <v>12000</v>
      </c>
      <c r="J157" s="8" t="n">
        <v>0</v>
      </c>
      <c r="K157" s="7" t="n">
        <v>5000</v>
      </c>
      <c r="L157" s="9" t="n">
        <f aca="false">H157*I157*(1-J157)</f>
        <v>48000</v>
      </c>
      <c r="M157" s="9" t="n">
        <f aca="false">L157-H157*K157</f>
        <v>28000</v>
      </c>
      <c r="N157" s="2" t="s">
        <v>34</v>
      </c>
    </row>
    <row r="158" customFormat="false" ht="15" hidden="false" customHeight="false" outlineLevel="0" collapsed="false">
      <c r="A158" s="2" t="s">
        <v>228</v>
      </c>
      <c r="B158" s="5" t="n">
        <v>46119</v>
      </c>
      <c r="C158" s="2" t="s">
        <v>29</v>
      </c>
      <c r="D158" s="2" t="s">
        <v>48</v>
      </c>
      <c r="E158" s="2" t="s">
        <v>38</v>
      </c>
      <c r="F158" s="2" t="s">
        <v>46</v>
      </c>
      <c r="G158" s="2" t="s">
        <v>40</v>
      </c>
      <c r="H158" s="6" t="n">
        <v>5</v>
      </c>
      <c r="I158" s="7" t="n">
        <v>320</v>
      </c>
      <c r="J158" s="8" t="n">
        <v>0.05</v>
      </c>
      <c r="K158" s="7" t="n">
        <v>240</v>
      </c>
      <c r="L158" s="9" t="n">
        <f aca="false">H158*I158*(1-J158)</f>
        <v>1520</v>
      </c>
      <c r="M158" s="9" t="n">
        <f aca="false">L158-H158*K158</f>
        <v>320</v>
      </c>
      <c r="N158" s="2" t="s">
        <v>34</v>
      </c>
    </row>
    <row r="159" customFormat="false" ht="15" hidden="false" customHeight="false" outlineLevel="0" collapsed="false">
      <c r="A159" s="2" t="s">
        <v>229</v>
      </c>
      <c r="B159" s="5" t="n">
        <v>46119</v>
      </c>
      <c r="C159" s="2" t="s">
        <v>43</v>
      </c>
      <c r="D159" s="2" t="s">
        <v>44</v>
      </c>
      <c r="E159" s="2" t="s">
        <v>120</v>
      </c>
      <c r="F159" s="2" t="s">
        <v>88</v>
      </c>
      <c r="G159" s="2" t="s">
        <v>69</v>
      </c>
      <c r="H159" s="6" t="n">
        <v>20</v>
      </c>
      <c r="I159" s="7" t="n">
        <v>1800</v>
      </c>
      <c r="J159" s="8" t="n">
        <v>0.2</v>
      </c>
      <c r="K159" s="7" t="n">
        <v>1000</v>
      </c>
      <c r="L159" s="9" t="n">
        <f aca="false">H159*I159*(1-J159)</f>
        <v>28800</v>
      </c>
      <c r="M159" s="9" t="n">
        <f aca="false">L159-H159*K159</f>
        <v>8800</v>
      </c>
      <c r="N159" s="2" t="s">
        <v>34</v>
      </c>
    </row>
    <row r="160" customFormat="false" ht="15" hidden="false" customHeight="false" outlineLevel="0" collapsed="false">
      <c r="A160" s="2" t="s">
        <v>230</v>
      </c>
      <c r="B160" s="5" t="n">
        <v>46120</v>
      </c>
      <c r="C160" s="2" t="s">
        <v>52</v>
      </c>
      <c r="D160" s="2" t="s">
        <v>72</v>
      </c>
      <c r="E160" s="2" t="s">
        <v>79</v>
      </c>
      <c r="F160" s="2" t="s">
        <v>32</v>
      </c>
      <c r="G160" s="2" t="s">
        <v>33</v>
      </c>
      <c r="H160" s="6" t="n">
        <v>2</v>
      </c>
      <c r="I160" s="7" t="n">
        <v>8500</v>
      </c>
      <c r="J160" s="8" t="n">
        <v>0.1</v>
      </c>
      <c r="K160" s="7" t="n">
        <v>3200</v>
      </c>
      <c r="L160" s="9" t="n">
        <f aca="false">H160*I160*(1-J160)</f>
        <v>15300</v>
      </c>
      <c r="M160" s="9" t="n">
        <f aca="false">L160-H160*K160</f>
        <v>8900</v>
      </c>
      <c r="N160" s="2" t="s">
        <v>34</v>
      </c>
    </row>
    <row r="161" customFormat="false" ht="15" hidden="false" customHeight="false" outlineLevel="0" collapsed="false">
      <c r="A161" s="2" t="s">
        <v>231</v>
      </c>
      <c r="B161" s="5" t="n">
        <v>46120</v>
      </c>
      <c r="C161" s="2" t="s">
        <v>43</v>
      </c>
      <c r="D161" s="2" t="s">
        <v>91</v>
      </c>
      <c r="E161" s="2" t="s">
        <v>66</v>
      </c>
      <c r="F161" s="2" t="s">
        <v>46</v>
      </c>
      <c r="G161" s="2" t="s">
        <v>40</v>
      </c>
      <c r="H161" s="6" t="n">
        <v>10</v>
      </c>
      <c r="I161" s="7" t="n">
        <v>320</v>
      </c>
      <c r="J161" s="8" t="n">
        <v>0.05</v>
      </c>
      <c r="K161" s="7" t="n">
        <v>240</v>
      </c>
      <c r="L161" s="9" t="n">
        <f aca="false">H161*I161*(1-J161)</f>
        <v>3040</v>
      </c>
      <c r="M161" s="9" t="n">
        <f aca="false">L161-H161*K161</f>
        <v>640</v>
      </c>
      <c r="N161" s="2" t="s">
        <v>34</v>
      </c>
    </row>
    <row r="162" customFormat="false" ht="15" hidden="false" customHeight="false" outlineLevel="0" collapsed="false">
      <c r="A162" s="2" t="s">
        <v>232</v>
      </c>
      <c r="B162" s="5" t="n">
        <v>46122</v>
      </c>
      <c r="C162" s="2" t="s">
        <v>29</v>
      </c>
      <c r="D162" s="2" t="s">
        <v>48</v>
      </c>
      <c r="E162" s="2" t="s">
        <v>84</v>
      </c>
      <c r="F162" s="2" t="s">
        <v>73</v>
      </c>
      <c r="G162" s="2" t="s">
        <v>33</v>
      </c>
      <c r="H162" s="6" t="n">
        <v>1</v>
      </c>
      <c r="I162" s="7" t="n">
        <v>6200</v>
      </c>
      <c r="J162" s="8" t="n">
        <v>0.05</v>
      </c>
      <c r="K162" s="7" t="n">
        <v>2600</v>
      </c>
      <c r="L162" s="9" t="n">
        <f aca="false">H162*I162*(1-J162)</f>
        <v>5890</v>
      </c>
      <c r="M162" s="9" t="n">
        <f aca="false">L162-H162*K162</f>
        <v>3290</v>
      </c>
      <c r="N162" s="2" t="s">
        <v>34</v>
      </c>
    </row>
    <row r="163" customFormat="false" ht="15" hidden="false" customHeight="false" outlineLevel="0" collapsed="false">
      <c r="A163" s="2" t="s">
        <v>233</v>
      </c>
      <c r="B163" s="5" t="n">
        <v>46123</v>
      </c>
      <c r="C163" s="2" t="s">
        <v>43</v>
      </c>
      <c r="D163" s="2" t="s">
        <v>44</v>
      </c>
      <c r="E163" s="2" t="s">
        <v>106</v>
      </c>
      <c r="F163" s="2" t="s">
        <v>46</v>
      </c>
      <c r="G163" s="2" t="s">
        <v>40</v>
      </c>
      <c r="H163" s="6" t="n">
        <v>1</v>
      </c>
      <c r="I163" s="7" t="n">
        <v>320</v>
      </c>
      <c r="J163" s="8" t="n">
        <v>0</v>
      </c>
      <c r="K163" s="7" t="n">
        <v>240</v>
      </c>
      <c r="L163" s="9" t="n">
        <f aca="false">H163*I163*(1-J163)</f>
        <v>320</v>
      </c>
      <c r="M163" s="9" t="n">
        <f aca="false">L163-H163*K163</f>
        <v>80</v>
      </c>
      <c r="N163" s="2" t="s">
        <v>34</v>
      </c>
    </row>
    <row r="164" customFormat="false" ht="15" hidden="false" customHeight="false" outlineLevel="0" collapsed="false">
      <c r="A164" s="2" t="s">
        <v>234</v>
      </c>
      <c r="B164" s="5" t="n">
        <v>46124</v>
      </c>
      <c r="C164" s="2" t="s">
        <v>29</v>
      </c>
      <c r="D164" s="2" t="s">
        <v>48</v>
      </c>
      <c r="E164" s="2" t="s">
        <v>31</v>
      </c>
      <c r="F164" s="2" t="s">
        <v>46</v>
      </c>
      <c r="G164" s="2" t="s">
        <v>40</v>
      </c>
      <c r="H164" s="6" t="n">
        <v>5</v>
      </c>
      <c r="I164" s="7" t="n">
        <v>320</v>
      </c>
      <c r="J164" s="8" t="n">
        <v>0</v>
      </c>
      <c r="K164" s="7" t="n">
        <v>240</v>
      </c>
      <c r="L164" s="9" t="n">
        <f aca="false">H164*I164*(1-J164)</f>
        <v>1600</v>
      </c>
      <c r="M164" s="9" t="n">
        <f aca="false">L164-H164*K164</f>
        <v>400</v>
      </c>
      <c r="N164" s="2" t="s">
        <v>34</v>
      </c>
    </row>
    <row r="165" customFormat="false" ht="15" hidden="false" customHeight="false" outlineLevel="0" collapsed="false">
      <c r="A165" s="2" t="s">
        <v>235</v>
      </c>
      <c r="B165" s="5" t="n">
        <v>46125</v>
      </c>
      <c r="C165" s="2" t="s">
        <v>52</v>
      </c>
      <c r="D165" s="2" t="s">
        <v>53</v>
      </c>
      <c r="E165" s="2" t="s">
        <v>45</v>
      </c>
      <c r="F165" s="2" t="s">
        <v>85</v>
      </c>
      <c r="G165" s="2" t="s">
        <v>33</v>
      </c>
      <c r="H165" s="6" t="n">
        <v>6</v>
      </c>
      <c r="I165" s="7" t="n">
        <v>2400</v>
      </c>
      <c r="J165" s="8" t="n">
        <v>0</v>
      </c>
      <c r="K165" s="7" t="n">
        <v>900</v>
      </c>
      <c r="L165" s="9" t="n">
        <f aca="false">H165*I165*(1-J165)</f>
        <v>14400</v>
      </c>
      <c r="M165" s="9" t="n">
        <f aca="false">L165-H165*K165</f>
        <v>9000</v>
      </c>
      <c r="N165" s="2" t="s">
        <v>34</v>
      </c>
    </row>
    <row r="166" customFormat="false" ht="15" hidden="false" customHeight="false" outlineLevel="0" collapsed="false">
      <c r="A166" s="2" t="s">
        <v>236</v>
      </c>
      <c r="B166" s="5" t="n">
        <v>46128</v>
      </c>
      <c r="C166" s="2" t="s">
        <v>52</v>
      </c>
      <c r="D166" s="2" t="s">
        <v>72</v>
      </c>
      <c r="E166" s="2" t="s">
        <v>109</v>
      </c>
      <c r="F166" s="2" t="s">
        <v>46</v>
      </c>
      <c r="G166" s="2" t="s">
        <v>40</v>
      </c>
      <c r="H166" s="6" t="n">
        <v>10</v>
      </c>
      <c r="I166" s="7" t="n">
        <v>320</v>
      </c>
      <c r="J166" s="8" t="n">
        <v>0.05</v>
      </c>
      <c r="K166" s="7" t="n">
        <v>240</v>
      </c>
      <c r="L166" s="9" t="n">
        <f aca="false">H166*I166*(1-J166)</f>
        <v>3040</v>
      </c>
      <c r="M166" s="9" t="n">
        <f aca="false">L166-H166*K166</f>
        <v>640</v>
      </c>
      <c r="N166" s="2" t="s">
        <v>34</v>
      </c>
    </row>
    <row r="167" customFormat="false" ht="15" hidden="false" customHeight="false" outlineLevel="0" collapsed="false">
      <c r="A167" s="2" t="s">
        <v>237</v>
      </c>
      <c r="B167" s="5" t="n">
        <v>46128</v>
      </c>
      <c r="C167" s="2" t="s">
        <v>36</v>
      </c>
      <c r="D167" s="2" t="s">
        <v>62</v>
      </c>
      <c r="E167" s="2" t="s">
        <v>120</v>
      </c>
      <c r="F167" s="2" t="s">
        <v>73</v>
      </c>
      <c r="G167" s="2" t="s">
        <v>33</v>
      </c>
      <c r="H167" s="6" t="n">
        <v>4</v>
      </c>
      <c r="I167" s="7" t="n">
        <v>6200</v>
      </c>
      <c r="J167" s="8" t="n">
        <v>0.15</v>
      </c>
      <c r="K167" s="7" t="n">
        <v>2600</v>
      </c>
      <c r="L167" s="9" t="n">
        <f aca="false">H167*I167*(1-J167)</f>
        <v>21080</v>
      </c>
      <c r="M167" s="9" t="n">
        <f aca="false">L167-H167*K167</f>
        <v>10680</v>
      </c>
      <c r="N167" s="2" t="s">
        <v>34</v>
      </c>
    </row>
    <row r="168" customFormat="false" ht="15" hidden="false" customHeight="false" outlineLevel="0" collapsed="false">
      <c r="A168" s="2" t="s">
        <v>238</v>
      </c>
      <c r="B168" s="5" t="n">
        <v>46130</v>
      </c>
      <c r="C168" s="2" t="s">
        <v>52</v>
      </c>
      <c r="D168" s="2" t="s">
        <v>72</v>
      </c>
      <c r="E168" s="2" t="s">
        <v>54</v>
      </c>
      <c r="F168" s="2" t="s">
        <v>50</v>
      </c>
      <c r="G168" s="2" t="s">
        <v>40</v>
      </c>
      <c r="H168" s="6" t="n">
        <v>25</v>
      </c>
      <c r="I168" s="7" t="n">
        <v>1450</v>
      </c>
      <c r="J168" s="8" t="n">
        <v>0.1</v>
      </c>
      <c r="K168" s="7" t="n">
        <v>1050</v>
      </c>
      <c r="L168" s="9" t="n">
        <f aca="false">H168*I168*(1-J168)</f>
        <v>32625</v>
      </c>
      <c r="M168" s="9" t="n">
        <f aca="false">L168-H168*K168</f>
        <v>6375</v>
      </c>
      <c r="N168" s="2" t="s">
        <v>34</v>
      </c>
    </row>
    <row r="169" customFormat="false" ht="15" hidden="false" customHeight="false" outlineLevel="0" collapsed="false">
      <c r="A169" s="2" t="s">
        <v>239</v>
      </c>
      <c r="B169" s="5" t="n">
        <v>46132</v>
      </c>
      <c r="C169" s="2" t="s">
        <v>52</v>
      </c>
      <c r="D169" s="2" t="s">
        <v>53</v>
      </c>
      <c r="E169" s="2" t="s">
        <v>84</v>
      </c>
      <c r="F169" s="2" t="s">
        <v>50</v>
      </c>
      <c r="G169" s="2" t="s">
        <v>40</v>
      </c>
      <c r="H169" s="6" t="n">
        <v>2</v>
      </c>
      <c r="I169" s="7" t="n">
        <v>1450</v>
      </c>
      <c r="J169" s="8" t="n">
        <v>0</v>
      </c>
      <c r="K169" s="7" t="n">
        <v>1050</v>
      </c>
      <c r="L169" s="9" t="n">
        <f aca="false">H169*I169*(1-J169)</f>
        <v>2900</v>
      </c>
      <c r="M169" s="9" t="n">
        <f aca="false">L169-H169*K169</f>
        <v>800</v>
      </c>
      <c r="N169" s="2" t="s">
        <v>34</v>
      </c>
    </row>
    <row r="170" customFormat="false" ht="15" hidden="false" customHeight="false" outlineLevel="0" collapsed="false">
      <c r="A170" s="2" t="s">
        <v>240</v>
      </c>
      <c r="B170" s="5" t="n">
        <v>46133</v>
      </c>
      <c r="C170" s="2" t="s">
        <v>52</v>
      </c>
      <c r="D170" s="2" t="s">
        <v>53</v>
      </c>
      <c r="E170" s="2" t="s">
        <v>63</v>
      </c>
      <c r="F170" s="2" t="s">
        <v>50</v>
      </c>
      <c r="G170" s="2" t="s">
        <v>40</v>
      </c>
      <c r="H170" s="6" t="n">
        <v>15</v>
      </c>
      <c r="I170" s="7" t="n">
        <v>1450</v>
      </c>
      <c r="J170" s="8" t="n">
        <v>0.1</v>
      </c>
      <c r="K170" s="7" t="n">
        <v>1050</v>
      </c>
      <c r="L170" s="9" t="n">
        <f aca="false">H170*I170*(1-J170)</f>
        <v>19575</v>
      </c>
      <c r="M170" s="9" t="n">
        <f aca="false">L170-H170*K170</f>
        <v>3825</v>
      </c>
      <c r="N170" s="2" t="s">
        <v>34</v>
      </c>
    </row>
    <row r="171" customFormat="false" ht="15" hidden="false" customHeight="false" outlineLevel="0" collapsed="false">
      <c r="A171" s="2" t="s">
        <v>241</v>
      </c>
      <c r="B171" s="5" t="n">
        <v>46136</v>
      </c>
      <c r="C171" s="2" t="s">
        <v>52</v>
      </c>
      <c r="D171" s="2" t="s">
        <v>72</v>
      </c>
      <c r="E171" s="2" t="s">
        <v>106</v>
      </c>
      <c r="F171" s="2" t="s">
        <v>88</v>
      </c>
      <c r="G171" s="2" t="s">
        <v>69</v>
      </c>
      <c r="H171" s="6" t="n">
        <v>20</v>
      </c>
      <c r="I171" s="7" t="n">
        <v>1800</v>
      </c>
      <c r="J171" s="8" t="n">
        <v>0</v>
      </c>
      <c r="K171" s="7" t="n">
        <v>1000</v>
      </c>
      <c r="L171" s="9" t="n">
        <f aca="false">H171*I171*(1-J171)</f>
        <v>36000</v>
      </c>
      <c r="M171" s="9" t="n">
        <f aca="false">L171-H171*K171</f>
        <v>16000</v>
      </c>
      <c r="N171" s="2" t="s">
        <v>34</v>
      </c>
    </row>
    <row r="172" customFormat="false" ht="15" hidden="false" customHeight="false" outlineLevel="0" collapsed="false">
      <c r="A172" s="2" t="s">
        <v>242</v>
      </c>
      <c r="B172" s="5" t="n">
        <v>46137</v>
      </c>
      <c r="C172" s="2" t="s">
        <v>29</v>
      </c>
      <c r="D172" s="2" t="s">
        <v>30</v>
      </c>
      <c r="E172" s="2" t="s">
        <v>60</v>
      </c>
      <c r="F172" s="2" t="s">
        <v>32</v>
      </c>
      <c r="G172" s="2" t="s">
        <v>33</v>
      </c>
      <c r="H172" s="6" t="n">
        <v>3</v>
      </c>
      <c r="I172" s="7" t="n">
        <v>8500</v>
      </c>
      <c r="J172" s="8" t="n">
        <v>0.15</v>
      </c>
      <c r="K172" s="7" t="n">
        <v>3200</v>
      </c>
      <c r="L172" s="9" t="n">
        <f aca="false">H172*I172*(1-J172)</f>
        <v>21675</v>
      </c>
      <c r="M172" s="9" t="n">
        <f aca="false">L172-H172*K172</f>
        <v>12075</v>
      </c>
      <c r="N172" s="2" t="s">
        <v>34</v>
      </c>
    </row>
    <row r="173" customFormat="false" ht="15" hidden="false" customHeight="false" outlineLevel="0" collapsed="false">
      <c r="A173" s="2" t="s">
        <v>243</v>
      </c>
      <c r="B173" s="5" t="n">
        <v>46138</v>
      </c>
      <c r="C173" s="2" t="s">
        <v>29</v>
      </c>
      <c r="D173" s="2" t="s">
        <v>48</v>
      </c>
      <c r="E173" s="2" t="s">
        <v>109</v>
      </c>
      <c r="F173" s="2" t="s">
        <v>46</v>
      </c>
      <c r="G173" s="2" t="s">
        <v>40</v>
      </c>
      <c r="H173" s="6" t="n">
        <v>3</v>
      </c>
      <c r="I173" s="7" t="n">
        <v>320</v>
      </c>
      <c r="J173" s="8" t="n">
        <v>0.1</v>
      </c>
      <c r="K173" s="7" t="n">
        <v>240</v>
      </c>
      <c r="L173" s="9" t="n">
        <f aca="false">H173*I173*(1-J173)</f>
        <v>864</v>
      </c>
      <c r="M173" s="9" t="n">
        <f aca="false">L173-H173*K173</f>
        <v>144</v>
      </c>
      <c r="N173" s="2" t="s">
        <v>34</v>
      </c>
    </row>
    <row r="174" customFormat="false" ht="15" hidden="false" customHeight="false" outlineLevel="0" collapsed="false">
      <c r="A174" s="2" t="s">
        <v>244</v>
      </c>
      <c r="B174" s="5" t="n">
        <v>46138</v>
      </c>
      <c r="C174" s="2" t="s">
        <v>43</v>
      </c>
      <c r="D174" s="2" t="s">
        <v>44</v>
      </c>
      <c r="E174" s="2" t="s">
        <v>54</v>
      </c>
      <c r="F174" s="2" t="s">
        <v>39</v>
      </c>
      <c r="G174" s="2" t="s">
        <v>40</v>
      </c>
      <c r="H174" s="6" t="n">
        <v>2</v>
      </c>
      <c r="I174" s="7" t="n">
        <v>1900</v>
      </c>
      <c r="J174" s="8" t="n">
        <v>0.25</v>
      </c>
      <c r="K174" s="7" t="n">
        <v>1650</v>
      </c>
      <c r="L174" s="9" t="n">
        <f aca="false">H174*I174*(1-J174)</f>
        <v>2850</v>
      </c>
      <c r="M174" s="9" t="n">
        <f aca="false">L174-H174*K174</f>
        <v>-450</v>
      </c>
      <c r="N174" s="2" t="s">
        <v>34</v>
      </c>
    </row>
    <row r="175" customFormat="false" ht="15" hidden="false" customHeight="false" outlineLevel="0" collapsed="false">
      <c r="A175" s="2" t="s">
        <v>245</v>
      </c>
      <c r="B175" s="5" t="n">
        <v>46139</v>
      </c>
      <c r="C175" s="2" t="s">
        <v>36</v>
      </c>
      <c r="D175" s="2" t="s">
        <v>62</v>
      </c>
      <c r="E175" s="2" t="s">
        <v>54</v>
      </c>
      <c r="F175" s="2" t="s">
        <v>32</v>
      </c>
      <c r="G175" s="2" t="s">
        <v>33</v>
      </c>
      <c r="H175" s="6" t="n">
        <v>4</v>
      </c>
      <c r="I175" s="7" t="n">
        <v>8500</v>
      </c>
      <c r="J175" s="8" t="n">
        <v>0</v>
      </c>
      <c r="K175" s="7" t="n">
        <v>3200</v>
      </c>
      <c r="L175" s="9" t="n">
        <f aca="false">H175*I175*(1-J175)</f>
        <v>34000</v>
      </c>
      <c r="M175" s="9" t="n">
        <f aca="false">L175-H175*K175</f>
        <v>21200</v>
      </c>
      <c r="N175" s="2" t="s">
        <v>34</v>
      </c>
    </row>
    <row r="176" customFormat="false" ht="15" hidden="false" customHeight="false" outlineLevel="0" collapsed="false">
      <c r="A176" s="2" t="s">
        <v>246</v>
      </c>
      <c r="B176" s="5" t="n">
        <v>46139</v>
      </c>
      <c r="C176" s="2" t="s">
        <v>43</v>
      </c>
      <c r="D176" s="2" t="s">
        <v>44</v>
      </c>
      <c r="E176" s="2" t="s">
        <v>120</v>
      </c>
      <c r="F176" s="2" t="s">
        <v>50</v>
      </c>
      <c r="G176" s="2" t="s">
        <v>40</v>
      </c>
      <c r="H176" s="6" t="n">
        <v>3</v>
      </c>
      <c r="I176" s="7" t="n">
        <v>1450</v>
      </c>
      <c r="J176" s="8" t="n">
        <v>0</v>
      </c>
      <c r="K176" s="7" t="n">
        <v>1050</v>
      </c>
      <c r="L176" s="9" t="n">
        <f aca="false">H176*I176*(1-J176)</f>
        <v>4350</v>
      </c>
      <c r="M176" s="9" t="n">
        <f aca="false">L176-H176*K176</f>
        <v>1200</v>
      </c>
      <c r="N176" s="2" t="s">
        <v>34</v>
      </c>
    </row>
    <row r="177" customFormat="false" ht="15" hidden="false" customHeight="false" outlineLevel="0" collapsed="false">
      <c r="A177" s="2" t="s">
        <v>247</v>
      </c>
      <c r="B177" s="5" t="n">
        <v>46140</v>
      </c>
      <c r="C177" s="2" t="s">
        <v>36</v>
      </c>
      <c r="D177" s="2" t="s">
        <v>62</v>
      </c>
      <c r="E177" s="2" t="s">
        <v>106</v>
      </c>
      <c r="F177" s="2" t="s">
        <v>80</v>
      </c>
      <c r="G177" s="2" t="s">
        <v>40</v>
      </c>
      <c r="H177" s="6" t="n">
        <v>4</v>
      </c>
      <c r="I177" s="7" t="n">
        <v>9800</v>
      </c>
      <c r="J177" s="8" t="n">
        <v>0.1</v>
      </c>
      <c r="K177" s="7" t="n">
        <v>7200</v>
      </c>
      <c r="L177" s="9" t="n">
        <f aca="false">H177*I177*(1-J177)</f>
        <v>35280</v>
      </c>
      <c r="M177" s="9" t="n">
        <f aca="false">L177-H177*K177</f>
        <v>6480</v>
      </c>
      <c r="N177" s="2" t="s">
        <v>34</v>
      </c>
    </row>
    <row r="178" customFormat="false" ht="15" hidden="false" customHeight="false" outlineLevel="0" collapsed="false">
      <c r="A178" s="2" t="s">
        <v>248</v>
      </c>
      <c r="B178" s="5" t="n">
        <v>46140</v>
      </c>
      <c r="C178" s="2" t="s">
        <v>29</v>
      </c>
      <c r="D178" s="2" t="s">
        <v>48</v>
      </c>
      <c r="E178" s="2" t="s">
        <v>38</v>
      </c>
      <c r="F178" s="2" t="s">
        <v>98</v>
      </c>
      <c r="G178" s="2" t="s">
        <v>69</v>
      </c>
      <c r="H178" s="6" t="n">
        <v>8</v>
      </c>
      <c r="I178" s="7" t="n">
        <v>3500</v>
      </c>
      <c r="J178" s="8" t="n">
        <v>0</v>
      </c>
      <c r="K178" s="7" t="n">
        <v>1400</v>
      </c>
      <c r="L178" s="9" t="n">
        <f aca="false">H178*I178*(1-J178)</f>
        <v>28000</v>
      </c>
      <c r="M178" s="9" t="n">
        <f aca="false">L178-H178*K178</f>
        <v>16800</v>
      </c>
      <c r="N178" s="2" t="s">
        <v>34</v>
      </c>
    </row>
    <row r="179" customFormat="false" ht="15" hidden="false" customHeight="false" outlineLevel="0" collapsed="false">
      <c r="A179" s="2" t="s">
        <v>249</v>
      </c>
      <c r="B179" s="5" t="n">
        <v>46140</v>
      </c>
      <c r="C179" s="2" t="s">
        <v>36</v>
      </c>
      <c r="D179" s="2" t="s">
        <v>37</v>
      </c>
      <c r="E179" s="2" t="s">
        <v>106</v>
      </c>
      <c r="F179" s="2" t="s">
        <v>46</v>
      </c>
      <c r="G179" s="2" t="s">
        <v>40</v>
      </c>
      <c r="H179" s="6" t="n">
        <v>25</v>
      </c>
      <c r="I179" s="7" t="n">
        <v>320</v>
      </c>
      <c r="J179" s="8" t="n">
        <v>0.05</v>
      </c>
      <c r="K179" s="7" t="n">
        <v>240</v>
      </c>
      <c r="L179" s="9" t="n">
        <f aca="false">H179*I179*(1-J179)</f>
        <v>7600</v>
      </c>
      <c r="M179" s="9" t="n">
        <f aca="false">L179-H179*K179</f>
        <v>1600</v>
      </c>
      <c r="N179" s="2" t="s">
        <v>34</v>
      </c>
    </row>
    <row r="180" customFormat="false" ht="15" hidden="false" customHeight="false" outlineLevel="0" collapsed="false">
      <c r="A180" s="2" t="s">
        <v>250</v>
      </c>
      <c r="B180" s="5" t="n">
        <v>46141</v>
      </c>
      <c r="C180" s="2" t="s">
        <v>29</v>
      </c>
      <c r="D180" s="2" t="s">
        <v>48</v>
      </c>
      <c r="E180" s="2" t="s">
        <v>109</v>
      </c>
      <c r="F180" s="2" t="s">
        <v>80</v>
      </c>
      <c r="G180" s="2" t="s">
        <v>40</v>
      </c>
      <c r="H180" s="6" t="n">
        <v>2</v>
      </c>
      <c r="I180" s="7" t="n">
        <v>9800</v>
      </c>
      <c r="J180" s="8" t="n">
        <v>0.15</v>
      </c>
      <c r="K180" s="7" t="n">
        <v>7200</v>
      </c>
      <c r="L180" s="9" t="n">
        <f aca="false">H180*I180*(1-J180)</f>
        <v>16660</v>
      </c>
      <c r="M180" s="9" t="n">
        <f aca="false">L180-H180*K180</f>
        <v>2260</v>
      </c>
      <c r="N180" s="2" t="s">
        <v>34</v>
      </c>
    </row>
    <row r="181" customFormat="false" ht="15" hidden="false" customHeight="false" outlineLevel="0" collapsed="false">
      <c r="A181" s="2" t="s">
        <v>251</v>
      </c>
      <c r="B181" s="5" t="n">
        <v>46142</v>
      </c>
      <c r="C181" s="2" t="s">
        <v>43</v>
      </c>
      <c r="D181" s="2" t="s">
        <v>91</v>
      </c>
      <c r="E181" s="2" t="s">
        <v>84</v>
      </c>
      <c r="F181" s="2" t="s">
        <v>73</v>
      </c>
      <c r="G181" s="2" t="s">
        <v>33</v>
      </c>
      <c r="H181" s="6" t="n">
        <v>2</v>
      </c>
      <c r="I181" s="7" t="n">
        <v>6200</v>
      </c>
      <c r="J181" s="8" t="n">
        <v>0.15</v>
      </c>
      <c r="K181" s="7" t="n">
        <v>2600</v>
      </c>
      <c r="L181" s="9" t="n">
        <f aca="false">H181*I181*(1-J181)</f>
        <v>10540</v>
      </c>
      <c r="M181" s="9" t="n">
        <f aca="false">L181-H181*K181</f>
        <v>5340</v>
      </c>
      <c r="N181" s="2" t="s">
        <v>34</v>
      </c>
    </row>
    <row r="182" customFormat="false" ht="15" hidden="false" customHeight="false" outlineLevel="0" collapsed="false">
      <c r="A182" s="2" t="s">
        <v>252</v>
      </c>
      <c r="B182" s="5" t="n">
        <v>46143</v>
      </c>
      <c r="C182" s="2" t="s">
        <v>29</v>
      </c>
      <c r="D182" s="2" t="s">
        <v>30</v>
      </c>
      <c r="E182" s="2" t="s">
        <v>63</v>
      </c>
      <c r="F182" s="2" t="s">
        <v>46</v>
      </c>
      <c r="G182" s="2" t="s">
        <v>40</v>
      </c>
      <c r="H182" s="6" t="n">
        <v>25</v>
      </c>
      <c r="I182" s="7" t="n">
        <v>320</v>
      </c>
      <c r="J182" s="8" t="n">
        <v>0.15</v>
      </c>
      <c r="K182" s="7" t="n">
        <v>240</v>
      </c>
      <c r="L182" s="9" t="n">
        <f aca="false">H182*I182*(1-J182)</f>
        <v>6800</v>
      </c>
      <c r="M182" s="9" t="n">
        <f aca="false">L182-H182*K182</f>
        <v>800</v>
      </c>
      <c r="N182" s="2" t="s">
        <v>34</v>
      </c>
    </row>
    <row r="183" customFormat="false" ht="15" hidden="false" customHeight="false" outlineLevel="0" collapsed="false">
      <c r="A183" s="2" t="s">
        <v>253</v>
      </c>
      <c r="B183" s="5" t="n">
        <v>46143</v>
      </c>
      <c r="C183" s="2" t="s">
        <v>43</v>
      </c>
      <c r="D183" s="2" t="s">
        <v>44</v>
      </c>
      <c r="E183" s="2" t="s">
        <v>45</v>
      </c>
      <c r="F183" s="2" t="s">
        <v>50</v>
      </c>
      <c r="G183" s="2" t="s">
        <v>40</v>
      </c>
      <c r="H183" s="6" t="n">
        <v>25</v>
      </c>
      <c r="I183" s="7" t="n">
        <v>1450</v>
      </c>
      <c r="J183" s="8" t="n">
        <v>0.05</v>
      </c>
      <c r="K183" s="7" t="n">
        <v>1050</v>
      </c>
      <c r="L183" s="9" t="n">
        <f aca="false">H183*I183*(1-J183)</f>
        <v>34437.5</v>
      </c>
      <c r="M183" s="9" t="n">
        <f aca="false">L183-H183*K183</f>
        <v>8187.5</v>
      </c>
      <c r="N183" s="2" t="s">
        <v>34</v>
      </c>
    </row>
    <row r="184" customFormat="false" ht="15" hidden="false" customHeight="false" outlineLevel="0" collapsed="false">
      <c r="A184" s="2" t="s">
        <v>254</v>
      </c>
      <c r="B184" s="5" t="n">
        <v>46144</v>
      </c>
      <c r="C184" s="2" t="s">
        <v>36</v>
      </c>
      <c r="D184" s="2" t="s">
        <v>62</v>
      </c>
      <c r="E184" s="2" t="s">
        <v>79</v>
      </c>
      <c r="F184" s="2" t="s">
        <v>50</v>
      </c>
      <c r="G184" s="2" t="s">
        <v>40</v>
      </c>
      <c r="H184" s="6" t="n">
        <v>1</v>
      </c>
      <c r="I184" s="7" t="n">
        <v>1450</v>
      </c>
      <c r="J184" s="8" t="n">
        <v>0.1</v>
      </c>
      <c r="K184" s="7" t="n">
        <v>1050</v>
      </c>
      <c r="L184" s="9" t="n">
        <f aca="false">H184*I184*(1-J184)</f>
        <v>1305</v>
      </c>
      <c r="M184" s="9" t="n">
        <f aca="false">L184-H184*K184</f>
        <v>255</v>
      </c>
      <c r="N184" s="2" t="s">
        <v>34</v>
      </c>
    </row>
    <row r="185" customFormat="false" ht="15" hidden="false" customHeight="false" outlineLevel="0" collapsed="false">
      <c r="A185" s="2" t="s">
        <v>255</v>
      </c>
      <c r="B185" s="5" t="n">
        <v>46148</v>
      </c>
      <c r="C185" s="2" t="s">
        <v>29</v>
      </c>
      <c r="D185" s="2" t="s">
        <v>30</v>
      </c>
      <c r="E185" s="2" t="s">
        <v>66</v>
      </c>
      <c r="F185" s="2" t="s">
        <v>50</v>
      </c>
      <c r="G185" s="2" t="s">
        <v>40</v>
      </c>
      <c r="H185" s="6" t="n">
        <v>20</v>
      </c>
      <c r="I185" s="7" t="n">
        <v>1450</v>
      </c>
      <c r="J185" s="8" t="n">
        <v>0.1</v>
      </c>
      <c r="K185" s="7" t="n">
        <v>1050</v>
      </c>
      <c r="L185" s="9" t="n">
        <f aca="false">H185*I185*(1-J185)</f>
        <v>26100</v>
      </c>
      <c r="M185" s="9" t="n">
        <f aca="false">L185-H185*K185</f>
        <v>5100</v>
      </c>
      <c r="N185" s="2" t="s">
        <v>34</v>
      </c>
    </row>
    <row r="186" customFormat="false" ht="15" hidden="false" customHeight="false" outlineLevel="0" collapsed="false">
      <c r="A186" s="2" t="s">
        <v>256</v>
      </c>
      <c r="B186" s="5" t="n">
        <v>46149</v>
      </c>
      <c r="C186" s="2" t="s">
        <v>36</v>
      </c>
      <c r="D186" s="2" t="s">
        <v>62</v>
      </c>
      <c r="E186" s="2" t="s">
        <v>79</v>
      </c>
      <c r="F186" s="2" t="s">
        <v>46</v>
      </c>
      <c r="G186" s="2" t="s">
        <v>40</v>
      </c>
      <c r="H186" s="6" t="n">
        <v>5</v>
      </c>
      <c r="I186" s="7" t="n">
        <v>320</v>
      </c>
      <c r="J186" s="8" t="n">
        <v>0</v>
      </c>
      <c r="K186" s="7" t="n">
        <v>240</v>
      </c>
      <c r="L186" s="9" t="n">
        <f aca="false">H186*I186*(1-J186)</f>
        <v>1600</v>
      </c>
      <c r="M186" s="9" t="n">
        <f aca="false">L186-H186*K186</f>
        <v>400</v>
      </c>
      <c r="N186" s="2" t="s">
        <v>34</v>
      </c>
    </row>
    <row r="187" customFormat="false" ht="15" hidden="false" customHeight="false" outlineLevel="0" collapsed="false">
      <c r="A187" s="2" t="s">
        <v>257</v>
      </c>
      <c r="B187" s="5" t="n">
        <v>46151</v>
      </c>
      <c r="C187" s="2" t="s">
        <v>43</v>
      </c>
      <c r="D187" s="2" t="s">
        <v>91</v>
      </c>
      <c r="E187" s="2" t="s">
        <v>79</v>
      </c>
      <c r="F187" s="2" t="s">
        <v>46</v>
      </c>
      <c r="G187" s="2" t="s">
        <v>40</v>
      </c>
      <c r="H187" s="6" t="n">
        <v>25</v>
      </c>
      <c r="I187" s="7" t="n">
        <v>320</v>
      </c>
      <c r="J187" s="8" t="n">
        <v>0.15</v>
      </c>
      <c r="K187" s="7" t="n">
        <v>240</v>
      </c>
      <c r="L187" s="9" t="n">
        <f aca="false">H187*I187*(1-J187)</f>
        <v>6800</v>
      </c>
      <c r="M187" s="9" t="n">
        <f aca="false">L187-H187*K187</f>
        <v>800</v>
      </c>
      <c r="N187" s="2" t="s">
        <v>34</v>
      </c>
    </row>
    <row r="188" customFormat="false" ht="15" hidden="false" customHeight="false" outlineLevel="0" collapsed="false">
      <c r="A188" s="2" t="s">
        <v>258</v>
      </c>
      <c r="B188" s="5" t="n">
        <v>46152</v>
      </c>
      <c r="C188" s="2" t="s">
        <v>43</v>
      </c>
      <c r="D188" s="2" t="s">
        <v>91</v>
      </c>
      <c r="E188" s="2" t="s">
        <v>31</v>
      </c>
      <c r="F188" s="2" t="s">
        <v>98</v>
      </c>
      <c r="G188" s="2" t="s">
        <v>69</v>
      </c>
      <c r="H188" s="6" t="n">
        <v>3</v>
      </c>
      <c r="I188" s="7" t="n">
        <v>3500</v>
      </c>
      <c r="J188" s="8" t="n">
        <v>0.2</v>
      </c>
      <c r="K188" s="7" t="n">
        <v>1400</v>
      </c>
      <c r="L188" s="9" t="n">
        <f aca="false">H188*I188*(1-J188)</f>
        <v>8400</v>
      </c>
      <c r="M188" s="9" t="n">
        <f aca="false">L188-H188*K188</f>
        <v>4200</v>
      </c>
      <c r="N188" s="2" t="s">
        <v>34</v>
      </c>
    </row>
    <row r="189" customFormat="false" ht="15" hidden="false" customHeight="false" outlineLevel="0" collapsed="false">
      <c r="A189" s="2" t="s">
        <v>259</v>
      </c>
      <c r="B189" s="5" t="n">
        <v>46153</v>
      </c>
      <c r="C189" s="2" t="s">
        <v>43</v>
      </c>
      <c r="D189" s="2" t="s">
        <v>44</v>
      </c>
      <c r="E189" s="2" t="s">
        <v>45</v>
      </c>
      <c r="F189" s="2" t="s">
        <v>98</v>
      </c>
      <c r="G189" s="2" t="s">
        <v>69</v>
      </c>
      <c r="H189" s="6" t="n">
        <v>8</v>
      </c>
      <c r="I189" s="7" t="n">
        <v>3500</v>
      </c>
      <c r="J189" s="8" t="n">
        <v>0.15</v>
      </c>
      <c r="K189" s="7" t="n">
        <v>1400</v>
      </c>
      <c r="L189" s="9" t="n">
        <f aca="false">H189*I189*(1-J189)</f>
        <v>23800</v>
      </c>
      <c r="M189" s="9" t="n">
        <f aca="false">L189-H189*K189</f>
        <v>12600</v>
      </c>
      <c r="N189" s="2" t="s">
        <v>34</v>
      </c>
    </row>
    <row r="190" customFormat="false" ht="15" hidden="false" customHeight="false" outlineLevel="0" collapsed="false">
      <c r="A190" s="2" t="s">
        <v>260</v>
      </c>
      <c r="B190" s="5" t="n">
        <v>46155</v>
      </c>
      <c r="C190" s="2" t="s">
        <v>29</v>
      </c>
      <c r="D190" s="2" t="s">
        <v>30</v>
      </c>
      <c r="E190" s="2" t="s">
        <v>49</v>
      </c>
      <c r="F190" s="2" t="s">
        <v>85</v>
      </c>
      <c r="G190" s="2" t="s">
        <v>33</v>
      </c>
      <c r="H190" s="6" t="n">
        <v>5</v>
      </c>
      <c r="I190" s="7" t="n">
        <v>2400</v>
      </c>
      <c r="J190" s="8" t="n">
        <v>0.1</v>
      </c>
      <c r="K190" s="7" t="n">
        <v>900</v>
      </c>
      <c r="L190" s="9" t="n">
        <f aca="false">H190*I190*(1-J190)</f>
        <v>10800</v>
      </c>
      <c r="M190" s="9" t="n">
        <f aca="false">L190-H190*K190</f>
        <v>6300</v>
      </c>
      <c r="N190" s="2" t="s">
        <v>34</v>
      </c>
    </row>
    <row r="191" customFormat="false" ht="15" hidden="false" customHeight="false" outlineLevel="0" collapsed="false">
      <c r="A191" s="2" t="s">
        <v>261</v>
      </c>
      <c r="B191" s="5" t="n">
        <v>46155</v>
      </c>
      <c r="C191" s="2" t="s">
        <v>36</v>
      </c>
      <c r="D191" s="2" t="s">
        <v>62</v>
      </c>
      <c r="E191" s="2" t="s">
        <v>57</v>
      </c>
      <c r="F191" s="2" t="s">
        <v>80</v>
      </c>
      <c r="G191" s="2" t="s">
        <v>40</v>
      </c>
      <c r="H191" s="6" t="n">
        <v>3</v>
      </c>
      <c r="I191" s="7" t="n">
        <v>9800</v>
      </c>
      <c r="J191" s="8" t="n">
        <v>0.1</v>
      </c>
      <c r="K191" s="7" t="n">
        <v>7200</v>
      </c>
      <c r="L191" s="9" t="n">
        <f aca="false">H191*I191*(1-J191)</f>
        <v>26460</v>
      </c>
      <c r="M191" s="9" t="n">
        <f aca="false">L191-H191*K191</f>
        <v>4860</v>
      </c>
      <c r="N191" s="2" t="s">
        <v>34</v>
      </c>
    </row>
    <row r="192" customFormat="false" ht="15" hidden="false" customHeight="false" outlineLevel="0" collapsed="false">
      <c r="A192" s="2" t="s">
        <v>262</v>
      </c>
      <c r="B192" s="5" t="n">
        <v>46155</v>
      </c>
      <c r="C192" s="2" t="s">
        <v>43</v>
      </c>
      <c r="D192" s="2" t="s">
        <v>44</v>
      </c>
      <c r="E192" s="2" t="s">
        <v>54</v>
      </c>
      <c r="F192" s="2" t="s">
        <v>80</v>
      </c>
      <c r="G192" s="2" t="s">
        <v>40</v>
      </c>
      <c r="H192" s="6" t="n">
        <v>2</v>
      </c>
      <c r="I192" s="7" t="n">
        <v>9800</v>
      </c>
      <c r="J192" s="8" t="n">
        <v>0</v>
      </c>
      <c r="K192" s="7" t="n">
        <v>7200</v>
      </c>
      <c r="L192" s="9" t="n">
        <f aca="false">H192*I192*(1-J192)</f>
        <v>19600</v>
      </c>
      <c r="M192" s="9" t="n">
        <f aca="false">L192-H192*K192</f>
        <v>5200</v>
      </c>
      <c r="N192" s="2" t="s">
        <v>34</v>
      </c>
    </row>
    <row r="193" customFormat="false" ht="15" hidden="false" customHeight="false" outlineLevel="0" collapsed="false">
      <c r="A193" s="2" t="s">
        <v>263</v>
      </c>
      <c r="B193" s="5" t="n">
        <v>46156</v>
      </c>
      <c r="C193" s="2" t="s">
        <v>36</v>
      </c>
      <c r="D193" s="2" t="s">
        <v>62</v>
      </c>
      <c r="E193" s="2" t="s">
        <v>109</v>
      </c>
      <c r="F193" s="2" t="s">
        <v>98</v>
      </c>
      <c r="G193" s="2" t="s">
        <v>69</v>
      </c>
      <c r="H193" s="6" t="n">
        <v>5</v>
      </c>
      <c r="I193" s="7" t="n">
        <v>3500</v>
      </c>
      <c r="J193" s="8" t="n">
        <v>0.05</v>
      </c>
      <c r="K193" s="7" t="n">
        <v>1400</v>
      </c>
      <c r="L193" s="9" t="n">
        <f aca="false">H193*I193*(1-J193)</f>
        <v>16625</v>
      </c>
      <c r="M193" s="9" t="n">
        <f aca="false">L193-H193*K193</f>
        <v>9625</v>
      </c>
      <c r="N193" s="2" t="s">
        <v>34</v>
      </c>
    </row>
    <row r="194" customFormat="false" ht="15" hidden="false" customHeight="false" outlineLevel="0" collapsed="false">
      <c r="A194" s="2" t="s">
        <v>264</v>
      </c>
      <c r="B194" s="5" t="n">
        <v>46158</v>
      </c>
      <c r="C194" s="2" t="s">
        <v>29</v>
      </c>
      <c r="D194" s="2" t="s">
        <v>48</v>
      </c>
      <c r="E194" s="2" t="s">
        <v>84</v>
      </c>
      <c r="F194" s="2" t="s">
        <v>85</v>
      </c>
      <c r="G194" s="2" t="s">
        <v>33</v>
      </c>
      <c r="H194" s="6" t="n">
        <v>8</v>
      </c>
      <c r="I194" s="7" t="n">
        <v>2400</v>
      </c>
      <c r="J194" s="8" t="n">
        <v>0.05</v>
      </c>
      <c r="K194" s="7" t="n">
        <v>900</v>
      </c>
      <c r="L194" s="9" t="n">
        <f aca="false">H194*I194*(1-J194)</f>
        <v>18240</v>
      </c>
      <c r="M194" s="9" t="n">
        <f aca="false">L194-H194*K194</f>
        <v>11040</v>
      </c>
      <c r="N194" s="2" t="s">
        <v>34</v>
      </c>
    </row>
    <row r="195" customFormat="false" ht="15" hidden="false" customHeight="false" outlineLevel="0" collapsed="false">
      <c r="A195" s="2" t="s">
        <v>265</v>
      </c>
      <c r="B195" s="5" t="n">
        <v>46159</v>
      </c>
      <c r="C195" s="2" t="s">
        <v>43</v>
      </c>
      <c r="D195" s="2" t="s">
        <v>44</v>
      </c>
      <c r="E195" s="2" t="s">
        <v>66</v>
      </c>
      <c r="F195" s="2" t="s">
        <v>50</v>
      </c>
      <c r="G195" s="2" t="s">
        <v>40</v>
      </c>
      <c r="H195" s="6" t="n">
        <v>20</v>
      </c>
      <c r="I195" s="7" t="n">
        <v>1450</v>
      </c>
      <c r="J195" s="8" t="n">
        <v>0.2</v>
      </c>
      <c r="K195" s="7" t="n">
        <v>1050</v>
      </c>
      <c r="L195" s="9" t="n">
        <f aca="false">H195*I195*(1-J195)</f>
        <v>23200</v>
      </c>
      <c r="M195" s="9" t="n">
        <f aca="false">L195-H195*K195</f>
        <v>2200</v>
      </c>
      <c r="N195" s="2" t="s">
        <v>34</v>
      </c>
    </row>
    <row r="196" customFormat="false" ht="15" hidden="false" customHeight="false" outlineLevel="0" collapsed="false">
      <c r="A196" s="2" t="s">
        <v>266</v>
      </c>
      <c r="B196" s="5" t="n">
        <v>46159</v>
      </c>
      <c r="C196" s="2" t="s">
        <v>52</v>
      </c>
      <c r="D196" s="2" t="s">
        <v>72</v>
      </c>
      <c r="E196" s="2" t="s">
        <v>63</v>
      </c>
      <c r="F196" s="2" t="s">
        <v>85</v>
      </c>
      <c r="G196" s="2" t="s">
        <v>33</v>
      </c>
      <c r="H196" s="6" t="n">
        <v>2</v>
      </c>
      <c r="I196" s="7" t="n">
        <v>2400</v>
      </c>
      <c r="J196" s="8" t="n">
        <v>0.1</v>
      </c>
      <c r="K196" s="7" t="n">
        <v>900</v>
      </c>
      <c r="L196" s="9" t="n">
        <f aca="false">H196*I196*(1-J196)</f>
        <v>4320</v>
      </c>
      <c r="M196" s="9" t="n">
        <f aca="false">L196-H196*K196</f>
        <v>2520</v>
      </c>
      <c r="N196" s="2" t="s">
        <v>34</v>
      </c>
    </row>
    <row r="197" customFormat="false" ht="15" hidden="false" customHeight="false" outlineLevel="0" collapsed="false">
      <c r="A197" s="2" t="s">
        <v>267</v>
      </c>
      <c r="B197" s="5" t="n">
        <v>46160</v>
      </c>
      <c r="C197" s="2" t="s">
        <v>29</v>
      </c>
      <c r="D197" s="2" t="s">
        <v>48</v>
      </c>
      <c r="E197" s="2" t="s">
        <v>109</v>
      </c>
      <c r="F197" s="2" t="s">
        <v>46</v>
      </c>
      <c r="G197" s="2" t="s">
        <v>40</v>
      </c>
      <c r="H197" s="6" t="n">
        <v>20</v>
      </c>
      <c r="I197" s="7" t="n">
        <v>320</v>
      </c>
      <c r="J197" s="8" t="n">
        <v>0.1</v>
      </c>
      <c r="K197" s="7" t="n">
        <v>240</v>
      </c>
      <c r="L197" s="9" t="n">
        <f aca="false">H197*I197*(1-J197)</f>
        <v>5760</v>
      </c>
      <c r="M197" s="9" t="n">
        <f aca="false">L197-H197*K197</f>
        <v>960</v>
      </c>
      <c r="N197" s="2" t="s">
        <v>34</v>
      </c>
    </row>
    <row r="198" customFormat="false" ht="15" hidden="false" customHeight="false" outlineLevel="0" collapsed="false">
      <c r="A198" s="2" t="s">
        <v>268</v>
      </c>
      <c r="B198" s="5" t="n">
        <v>46160</v>
      </c>
      <c r="C198" s="2" t="s">
        <v>36</v>
      </c>
      <c r="D198" s="2" t="s">
        <v>37</v>
      </c>
      <c r="E198" s="2" t="s">
        <v>79</v>
      </c>
      <c r="F198" s="2" t="s">
        <v>46</v>
      </c>
      <c r="G198" s="2" t="s">
        <v>40</v>
      </c>
      <c r="H198" s="6" t="n">
        <v>15</v>
      </c>
      <c r="I198" s="7" t="n">
        <v>320</v>
      </c>
      <c r="J198" s="8" t="n">
        <v>0.05</v>
      </c>
      <c r="K198" s="7" t="n">
        <v>240</v>
      </c>
      <c r="L198" s="9" t="n">
        <f aca="false">H198*I198*(1-J198)</f>
        <v>4560</v>
      </c>
      <c r="M198" s="9" t="n">
        <f aca="false">L198-H198*K198</f>
        <v>960</v>
      </c>
      <c r="N198" s="2" t="s">
        <v>34</v>
      </c>
    </row>
    <row r="199" customFormat="false" ht="15" hidden="false" customHeight="false" outlineLevel="0" collapsed="false">
      <c r="A199" s="2" t="s">
        <v>269</v>
      </c>
      <c r="B199" s="5" t="n">
        <v>46161</v>
      </c>
      <c r="C199" s="2" t="s">
        <v>36</v>
      </c>
      <c r="D199" s="2" t="s">
        <v>37</v>
      </c>
      <c r="E199" s="2" t="s">
        <v>31</v>
      </c>
      <c r="F199" s="2" t="s">
        <v>50</v>
      </c>
      <c r="G199" s="2" t="s">
        <v>40</v>
      </c>
      <c r="H199" s="6" t="n">
        <v>5</v>
      </c>
      <c r="I199" s="7" t="n">
        <v>1450</v>
      </c>
      <c r="J199" s="8" t="n">
        <v>0.2</v>
      </c>
      <c r="K199" s="7" t="n">
        <v>1050</v>
      </c>
      <c r="L199" s="9" t="n">
        <f aca="false">H199*I199*(1-J199)</f>
        <v>5800</v>
      </c>
      <c r="M199" s="9" t="n">
        <f aca="false">L199-H199*K199</f>
        <v>550</v>
      </c>
      <c r="N199" s="2" t="s">
        <v>34</v>
      </c>
    </row>
    <row r="200" customFormat="false" ht="15" hidden="false" customHeight="false" outlineLevel="0" collapsed="false">
      <c r="A200" s="2" t="s">
        <v>270</v>
      </c>
      <c r="B200" s="5" t="n">
        <v>46161</v>
      </c>
      <c r="C200" s="2" t="s">
        <v>52</v>
      </c>
      <c r="D200" s="2" t="s">
        <v>72</v>
      </c>
      <c r="E200" s="2" t="s">
        <v>66</v>
      </c>
      <c r="F200" s="2" t="s">
        <v>50</v>
      </c>
      <c r="G200" s="2" t="s">
        <v>40</v>
      </c>
      <c r="H200" s="6" t="n">
        <v>15</v>
      </c>
      <c r="I200" s="7" t="n">
        <v>1450</v>
      </c>
      <c r="J200" s="8" t="n">
        <v>0.05</v>
      </c>
      <c r="K200" s="7" t="n">
        <v>1050</v>
      </c>
      <c r="L200" s="9" t="n">
        <f aca="false">H200*I200*(1-J200)</f>
        <v>20662.5</v>
      </c>
      <c r="M200" s="9" t="n">
        <f aca="false">L200-H200*K200</f>
        <v>4912.5</v>
      </c>
      <c r="N200" s="2" t="s">
        <v>34</v>
      </c>
    </row>
    <row r="201" customFormat="false" ht="15" hidden="false" customHeight="false" outlineLevel="0" collapsed="false">
      <c r="A201" s="2" t="s">
        <v>271</v>
      </c>
      <c r="B201" s="5" t="n">
        <v>46161</v>
      </c>
      <c r="C201" s="2" t="s">
        <v>52</v>
      </c>
      <c r="D201" s="2" t="s">
        <v>53</v>
      </c>
      <c r="E201" s="2" t="s">
        <v>49</v>
      </c>
      <c r="F201" s="2" t="s">
        <v>50</v>
      </c>
      <c r="G201" s="2" t="s">
        <v>40</v>
      </c>
      <c r="H201" s="6" t="n">
        <v>25</v>
      </c>
      <c r="I201" s="7" t="n">
        <v>1450</v>
      </c>
      <c r="J201" s="8" t="n">
        <v>0</v>
      </c>
      <c r="K201" s="7" t="n">
        <v>1050</v>
      </c>
      <c r="L201" s="9" t="n">
        <f aca="false">H201*I201*(1-J201)</f>
        <v>36250</v>
      </c>
      <c r="M201" s="9" t="n">
        <f aca="false">L201-H201*K201</f>
        <v>10000</v>
      </c>
      <c r="N201" s="2" t="s">
        <v>34</v>
      </c>
    </row>
    <row r="202" customFormat="false" ht="15" hidden="false" customHeight="false" outlineLevel="0" collapsed="false">
      <c r="A202" s="2" t="s">
        <v>272</v>
      </c>
      <c r="B202" s="5" t="n">
        <v>46161</v>
      </c>
      <c r="C202" s="2" t="s">
        <v>52</v>
      </c>
      <c r="D202" s="2" t="s">
        <v>72</v>
      </c>
      <c r="E202" s="2" t="s">
        <v>84</v>
      </c>
      <c r="F202" s="2" t="s">
        <v>85</v>
      </c>
      <c r="G202" s="2" t="s">
        <v>33</v>
      </c>
      <c r="H202" s="6" t="n">
        <v>4</v>
      </c>
      <c r="I202" s="7" t="n">
        <v>2400</v>
      </c>
      <c r="J202" s="8" t="n">
        <v>0.05</v>
      </c>
      <c r="K202" s="7" t="n">
        <v>900</v>
      </c>
      <c r="L202" s="9" t="n">
        <f aca="false">H202*I202*(1-J202)</f>
        <v>9120</v>
      </c>
      <c r="M202" s="9" t="n">
        <f aca="false">L202-H202*K202</f>
        <v>5520</v>
      </c>
      <c r="N202" s="2" t="s">
        <v>34</v>
      </c>
    </row>
    <row r="203" customFormat="false" ht="15" hidden="false" customHeight="false" outlineLevel="0" collapsed="false">
      <c r="A203" s="2" t="s">
        <v>273</v>
      </c>
      <c r="B203" s="5" t="n">
        <v>46163</v>
      </c>
      <c r="C203" s="2" t="s">
        <v>52</v>
      </c>
      <c r="D203" s="2" t="s">
        <v>53</v>
      </c>
      <c r="E203" s="2" t="s">
        <v>66</v>
      </c>
      <c r="F203" s="2" t="s">
        <v>46</v>
      </c>
      <c r="G203" s="2" t="s">
        <v>40</v>
      </c>
      <c r="H203" s="6" t="n">
        <v>15</v>
      </c>
      <c r="I203" s="7" t="n">
        <v>320</v>
      </c>
      <c r="J203" s="8" t="n">
        <v>0.2</v>
      </c>
      <c r="K203" s="7" t="n">
        <v>240</v>
      </c>
      <c r="L203" s="9" t="n">
        <f aca="false">H203*I203*(1-J203)</f>
        <v>3840</v>
      </c>
      <c r="M203" s="9" t="n">
        <f aca="false">L203-H203*K203</f>
        <v>240</v>
      </c>
      <c r="N203" s="2" t="s">
        <v>34</v>
      </c>
    </row>
    <row r="204" customFormat="false" ht="15" hidden="false" customHeight="false" outlineLevel="0" collapsed="false">
      <c r="A204" s="2" t="s">
        <v>274</v>
      </c>
      <c r="B204" s="5" t="n">
        <v>46163</v>
      </c>
      <c r="C204" s="2" t="s">
        <v>52</v>
      </c>
      <c r="D204" s="2" t="s">
        <v>53</v>
      </c>
      <c r="E204" s="2" t="s">
        <v>120</v>
      </c>
      <c r="F204" s="2" t="s">
        <v>88</v>
      </c>
      <c r="G204" s="2" t="s">
        <v>69</v>
      </c>
      <c r="H204" s="6" t="n">
        <v>20</v>
      </c>
      <c r="I204" s="7" t="n">
        <v>1800</v>
      </c>
      <c r="J204" s="8" t="n">
        <v>0.2</v>
      </c>
      <c r="K204" s="7" t="n">
        <v>1000</v>
      </c>
      <c r="L204" s="9" t="n">
        <f aca="false">H204*I204*(1-J204)</f>
        <v>28800</v>
      </c>
      <c r="M204" s="9" t="n">
        <f aca="false">L204-H204*K204</f>
        <v>8800</v>
      </c>
      <c r="N204" s="2" t="s">
        <v>34</v>
      </c>
    </row>
    <row r="205" customFormat="false" ht="15" hidden="false" customHeight="false" outlineLevel="0" collapsed="false">
      <c r="A205" s="2" t="s">
        <v>275</v>
      </c>
      <c r="B205" s="5" t="n">
        <v>46164</v>
      </c>
      <c r="C205" s="2" t="s">
        <v>52</v>
      </c>
      <c r="D205" s="2" t="s">
        <v>72</v>
      </c>
      <c r="E205" s="2" t="s">
        <v>49</v>
      </c>
      <c r="F205" s="2" t="s">
        <v>75</v>
      </c>
      <c r="G205" s="2" t="s">
        <v>33</v>
      </c>
      <c r="H205" s="6" t="n">
        <v>4</v>
      </c>
      <c r="I205" s="7" t="n">
        <v>12000</v>
      </c>
      <c r="J205" s="8" t="n">
        <v>0.1</v>
      </c>
      <c r="K205" s="7" t="n">
        <v>5000</v>
      </c>
      <c r="L205" s="9" t="n">
        <f aca="false">H205*I205*(1-J205)</f>
        <v>43200</v>
      </c>
      <c r="M205" s="9" t="n">
        <f aca="false">L205-H205*K205</f>
        <v>23200</v>
      </c>
      <c r="N205" s="2" t="s">
        <v>34</v>
      </c>
    </row>
    <row r="206" customFormat="false" ht="15" hidden="false" customHeight="false" outlineLevel="0" collapsed="false">
      <c r="A206" s="2" t="s">
        <v>276</v>
      </c>
      <c r="B206" s="5" t="n">
        <v>46165</v>
      </c>
      <c r="C206" s="2" t="s">
        <v>29</v>
      </c>
      <c r="D206" s="2" t="s">
        <v>48</v>
      </c>
      <c r="E206" s="2" t="s">
        <v>60</v>
      </c>
      <c r="F206" s="2" t="s">
        <v>85</v>
      </c>
      <c r="G206" s="2" t="s">
        <v>33</v>
      </c>
      <c r="H206" s="6" t="n">
        <v>1</v>
      </c>
      <c r="I206" s="7" t="n">
        <v>2400</v>
      </c>
      <c r="J206" s="8" t="n">
        <v>0.15</v>
      </c>
      <c r="K206" s="7" t="n">
        <v>900</v>
      </c>
      <c r="L206" s="9" t="n">
        <f aca="false">H206*I206*(1-J206)</f>
        <v>2040</v>
      </c>
      <c r="M206" s="9" t="n">
        <f aca="false">L206-H206*K206</f>
        <v>1140</v>
      </c>
      <c r="N206" s="2" t="s">
        <v>34</v>
      </c>
    </row>
    <row r="207" customFormat="false" ht="15" hidden="false" customHeight="false" outlineLevel="0" collapsed="false">
      <c r="A207" s="2" t="s">
        <v>277</v>
      </c>
      <c r="B207" s="5" t="n">
        <v>46166</v>
      </c>
      <c r="C207" s="2" t="s">
        <v>52</v>
      </c>
      <c r="D207" s="2" t="s">
        <v>53</v>
      </c>
      <c r="E207" s="2" t="s">
        <v>45</v>
      </c>
      <c r="F207" s="2" t="s">
        <v>80</v>
      </c>
      <c r="G207" s="2" t="s">
        <v>40</v>
      </c>
      <c r="H207" s="6" t="n">
        <v>1</v>
      </c>
      <c r="I207" s="7" t="n">
        <v>9800</v>
      </c>
      <c r="J207" s="8" t="n">
        <v>0.05</v>
      </c>
      <c r="K207" s="7" t="n">
        <v>7200</v>
      </c>
      <c r="L207" s="9" t="n">
        <f aca="false">H207*I207*(1-J207)</f>
        <v>9310</v>
      </c>
      <c r="M207" s="9" t="n">
        <f aca="false">L207-H207*K207</f>
        <v>2110</v>
      </c>
      <c r="N207" s="2" t="s">
        <v>34</v>
      </c>
    </row>
    <row r="208" customFormat="false" ht="15" hidden="false" customHeight="false" outlineLevel="0" collapsed="false">
      <c r="A208" s="2" t="s">
        <v>278</v>
      </c>
      <c r="B208" s="5" t="n">
        <v>46168</v>
      </c>
      <c r="C208" s="2" t="s">
        <v>43</v>
      </c>
      <c r="D208" s="2" t="s">
        <v>44</v>
      </c>
      <c r="E208" s="2" t="s">
        <v>38</v>
      </c>
      <c r="F208" s="2" t="s">
        <v>50</v>
      </c>
      <c r="G208" s="2" t="s">
        <v>40</v>
      </c>
      <c r="H208" s="6" t="n">
        <v>2</v>
      </c>
      <c r="I208" s="7" t="n">
        <v>1450</v>
      </c>
      <c r="J208" s="8" t="n">
        <v>0.05</v>
      </c>
      <c r="K208" s="7" t="n">
        <v>1050</v>
      </c>
      <c r="L208" s="9" t="n">
        <f aca="false">H208*I208*(1-J208)</f>
        <v>2755</v>
      </c>
      <c r="M208" s="9" t="n">
        <f aca="false">L208-H208*K208</f>
        <v>655</v>
      </c>
      <c r="N208" s="2" t="s">
        <v>34</v>
      </c>
    </row>
    <row r="209" customFormat="false" ht="15" hidden="false" customHeight="false" outlineLevel="0" collapsed="false">
      <c r="A209" s="2" t="s">
        <v>279</v>
      </c>
      <c r="B209" s="5" t="n">
        <v>46168</v>
      </c>
      <c r="C209" s="2" t="s">
        <v>43</v>
      </c>
      <c r="D209" s="2" t="s">
        <v>44</v>
      </c>
      <c r="E209" s="2" t="s">
        <v>66</v>
      </c>
      <c r="F209" s="2" t="s">
        <v>88</v>
      </c>
      <c r="G209" s="2" t="s">
        <v>69</v>
      </c>
      <c r="H209" s="6" t="n">
        <v>8</v>
      </c>
      <c r="I209" s="7" t="n">
        <v>1800</v>
      </c>
      <c r="J209" s="8" t="n">
        <v>0.05</v>
      </c>
      <c r="K209" s="7" t="n">
        <v>1000</v>
      </c>
      <c r="L209" s="9" t="n">
        <f aca="false">H209*I209*(1-J209)</f>
        <v>13680</v>
      </c>
      <c r="M209" s="9" t="n">
        <f aca="false">L209-H209*K209</f>
        <v>5680</v>
      </c>
      <c r="N209" s="2" t="s">
        <v>34</v>
      </c>
    </row>
    <row r="210" customFormat="false" ht="15" hidden="false" customHeight="false" outlineLevel="0" collapsed="false">
      <c r="A210" s="2" t="s">
        <v>280</v>
      </c>
      <c r="B210" s="5" t="n">
        <v>46168</v>
      </c>
      <c r="C210" s="2" t="s">
        <v>36</v>
      </c>
      <c r="D210" s="2" t="s">
        <v>37</v>
      </c>
      <c r="E210" s="2" t="s">
        <v>54</v>
      </c>
      <c r="F210" s="2" t="s">
        <v>85</v>
      </c>
      <c r="G210" s="2" t="s">
        <v>33</v>
      </c>
      <c r="H210" s="6" t="n">
        <v>2</v>
      </c>
      <c r="I210" s="7" t="n">
        <v>2400</v>
      </c>
      <c r="J210" s="8" t="n">
        <v>0</v>
      </c>
      <c r="K210" s="7" t="n">
        <v>900</v>
      </c>
      <c r="L210" s="9" t="n">
        <f aca="false">H210*I210*(1-J210)</f>
        <v>4800</v>
      </c>
      <c r="M210" s="9" t="n">
        <f aca="false">L210-H210*K210</f>
        <v>3000</v>
      </c>
      <c r="N210" s="2" t="s">
        <v>34</v>
      </c>
    </row>
    <row r="211" customFormat="false" ht="15" hidden="false" customHeight="false" outlineLevel="0" collapsed="false">
      <c r="A211" s="2" t="s">
        <v>281</v>
      </c>
      <c r="B211" s="5" t="n">
        <v>46169</v>
      </c>
      <c r="C211" s="2" t="s">
        <v>29</v>
      </c>
      <c r="D211" s="2" t="s">
        <v>48</v>
      </c>
      <c r="E211" s="2" t="s">
        <v>84</v>
      </c>
      <c r="F211" s="2" t="s">
        <v>73</v>
      </c>
      <c r="G211" s="2" t="s">
        <v>33</v>
      </c>
      <c r="H211" s="6" t="n">
        <v>4</v>
      </c>
      <c r="I211" s="7" t="n">
        <v>6200</v>
      </c>
      <c r="J211" s="8" t="n">
        <v>0.2</v>
      </c>
      <c r="K211" s="7" t="n">
        <v>2600</v>
      </c>
      <c r="L211" s="9" t="n">
        <f aca="false">H211*I211*(1-J211)</f>
        <v>19840</v>
      </c>
      <c r="M211" s="9" t="n">
        <f aca="false">L211-H211*K211</f>
        <v>9440</v>
      </c>
      <c r="N211" s="2" t="s">
        <v>34</v>
      </c>
    </row>
    <row r="212" customFormat="false" ht="15" hidden="false" customHeight="false" outlineLevel="0" collapsed="false">
      <c r="A212" s="2" t="s">
        <v>282</v>
      </c>
      <c r="B212" s="5" t="n">
        <v>46169</v>
      </c>
      <c r="C212" s="2" t="s">
        <v>52</v>
      </c>
      <c r="D212" s="2" t="s">
        <v>53</v>
      </c>
      <c r="E212" s="2" t="s">
        <v>54</v>
      </c>
      <c r="F212" s="2" t="s">
        <v>46</v>
      </c>
      <c r="G212" s="2" t="s">
        <v>40</v>
      </c>
      <c r="H212" s="6" t="n">
        <v>5</v>
      </c>
      <c r="I212" s="7" t="n">
        <v>320</v>
      </c>
      <c r="J212" s="8" t="n">
        <v>0</v>
      </c>
      <c r="K212" s="7" t="n">
        <v>240</v>
      </c>
      <c r="L212" s="9" t="n">
        <f aca="false">H212*I212*(1-J212)</f>
        <v>1600</v>
      </c>
      <c r="M212" s="9" t="n">
        <f aca="false">L212-H212*K212</f>
        <v>400</v>
      </c>
      <c r="N212" s="2" t="s">
        <v>34</v>
      </c>
    </row>
    <row r="213" customFormat="false" ht="15" hidden="false" customHeight="false" outlineLevel="0" collapsed="false">
      <c r="A213" s="2" t="s">
        <v>283</v>
      </c>
      <c r="B213" s="5" t="n">
        <v>46171</v>
      </c>
      <c r="C213" s="2" t="s">
        <v>52</v>
      </c>
      <c r="D213" s="2" t="s">
        <v>53</v>
      </c>
      <c r="E213" s="2" t="s">
        <v>66</v>
      </c>
      <c r="F213" s="2" t="s">
        <v>85</v>
      </c>
      <c r="G213" s="2" t="s">
        <v>33</v>
      </c>
      <c r="H213" s="6" t="n">
        <v>2</v>
      </c>
      <c r="I213" s="7" t="n">
        <v>2400</v>
      </c>
      <c r="J213" s="8" t="n">
        <v>0.05</v>
      </c>
      <c r="K213" s="7" t="n">
        <v>900</v>
      </c>
      <c r="L213" s="9" t="n">
        <f aca="false">H213*I213*(1-J213)</f>
        <v>4560</v>
      </c>
      <c r="M213" s="9" t="n">
        <f aca="false">L213-H213*K213</f>
        <v>2760</v>
      </c>
      <c r="N213" s="2" t="s">
        <v>34</v>
      </c>
    </row>
    <row r="214" customFormat="false" ht="15" hidden="false" customHeight="false" outlineLevel="0" collapsed="false">
      <c r="A214" s="2" t="s">
        <v>284</v>
      </c>
      <c r="B214" s="5" t="n">
        <v>46172</v>
      </c>
      <c r="C214" s="2" t="s">
        <v>43</v>
      </c>
      <c r="D214" s="2" t="s">
        <v>44</v>
      </c>
      <c r="E214" s="2" t="s">
        <v>57</v>
      </c>
      <c r="F214" s="2" t="s">
        <v>80</v>
      </c>
      <c r="G214" s="2" t="s">
        <v>40</v>
      </c>
      <c r="H214" s="6" t="n">
        <v>3</v>
      </c>
      <c r="I214" s="7" t="n">
        <v>9800</v>
      </c>
      <c r="J214" s="8" t="n">
        <v>0</v>
      </c>
      <c r="K214" s="7" t="n">
        <v>7200</v>
      </c>
      <c r="L214" s="9" t="n">
        <f aca="false">H214*I214*(1-J214)</f>
        <v>29400</v>
      </c>
      <c r="M214" s="9" t="n">
        <f aca="false">L214-H214*K214</f>
        <v>7800</v>
      </c>
      <c r="N214" s="2" t="s">
        <v>64</v>
      </c>
    </row>
    <row r="215" customFormat="false" ht="15" hidden="false" customHeight="false" outlineLevel="0" collapsed="false">
      <c r="A215" s="2" t="s">
        <v>285</v>
      </c>
      <c r="B215" s="5" t="n">
        <v>46173</v>
      </c>
      <c r="C215" s="2" t="s">
        <v>29</v>
      </c>
      <c r="D215" s="2" t="s">
        <v>30</v>
      </c>
      <c r="E215" s="2" t="s">
        <v>79</v>
      </c>
      <c r="F215" s="2" t="s">
        <v>80</v>
      </c>
      <c r="G215" s="2" t="s">
        <v>40</v>
      </c>
      <c r="H215" s="6" t="n">
        <v>4</v>
      </c>
      <c r="I215" s="7" t="n">
        <v>9800</v>
      </c>
      <c r="J215" s="8" t="n">
        <v>0</v>
      </c>
      <c r="K215" s="7" t="n">
        <v>7200</v>
      </c>
      <c r="L215" s="9" t="n">
        <f aca="false">H215*I215*(1-J215)</f>
        <v>39200</v>
      </c>
      <c r="M215" s="9" t="n">
        <f aca="false">L215-H215*K215</f>
        <v>10400</v>
      </c>
      <c r="N215" s="2" t="s">
        <v>34</v>
      </c>
    </row>
    <row r="216" customFormat="false" ht="15" hidden="false" customHeight="false" outlineLevel="0" collapsed="false">
      <c r="A216" s="2" t="s">
        <v>286</v>
      </c>
      <c r="B216" s="5" t="n">
        <v>46174</v>
      </c>
      <c r="C216" s="2" t="s">
        <v>29</v>
      </c>
      <c r="D216" s="2" t="s">
        <v>30</v>
      </c>
      <c r="E216" s="2" t="s">
        <v>66</v>
      </c>
      <c r="F216" s="2" t="s">
        <v>73</v>
      </c>
      <c r="G216" s="2" t="s">
        <v>33</v>
      </c>
      <c r="H216" s="6" t="n">
        <v>4</v>
      </c>
      <c r="I216" s="7" t="n">
        <v>6200</v>
      </c>
      <c r="J216" s="8" t="n">
        <v>0.15</v>
      </c>
      <c r="K216" s="7" t="n">
        <v>2600</v>
      </c>
      <c r="L216" s="9" t="n">
        <f aca="false">H216*I216*(1-J216)</f>
        <v>21080</v>
      </c>
      <c r="M216" s="9" t="n">
        <f aca="false">L216-H216*K216</f>
        <v>10680</v>
      </c>
      <c r="N216" s="2" t="s">
        <v>34</v>
      </c>
    </row>
    <row r="217" customFormat="false" ht="15" hidden="false" customHeight="false" outlineLevel="0" collapsed="false">
      <c r="A217" s="2" t="s">
        <v>287</v>
      </c>
      <c r="B217" s="5" t="n">
        <v>46178</v>
      </c>
      <c r="C217" s="2" t="s">
        <v>43</v>
      </c>
      <c r="D217" s="2" t="s">
        <v>44</v>
      </c>
      <c r="E217" s="2" t="s">
        <v>82</v>
      </c>
      <c r="F217" s="2" t="s">
        <v>32</v>
      </c>
      <c r="G217" s="2" t="s">
        <v>33</v>
      </c>
      <c r="H217" s="6" t="n">
        <v>2</v>
      </c>
      <c r="I217" s="7" t="n">
        <v>8500</v>
      </c>
      <c r="J217" s="8" t="n">
        <v>0</v>
      </c>
      <c r="K217" s="7" t="n">
        <v>3200</v>
      </c>
      <c r="L217" s="9" t="n">
        <f aca="false">H217*I217*(1-J217)</f>
        <v>17000</v>
      </c>
      <c r="M217" s="9" t="n">
        <f aca="false">L217-H217*K217</f>
        <v>10600</v>
      </c>
      <c r="N217" s="2" t="s">
        <v>34</v>
      </c>
    </row>
    <row r="218" customFormat="false" ht="15" hidden="false" customHeight="false" outlineLevel="0" collapsed="false">
      <c r="A218" s="2" t="s">
        <v>288</v>
      </c>
      <c r="B218" s="5" t="n">
        <v>46179</v>
      </c>
      <c r="C218" s="2" t="s">
        <v>36</v>
      </c>
      <c r="D218" s="2" t="s">
        <v>37</v>
      </c>
      <c r="E218" s="2" t="s">
        <v>109</v>
      </c>
      <c r="F218" s="2" t="s">
        <v>32</v>
      </c>
      <c r="G218" s="2" t="s">
        <v>33</v>
      </c>
      <c r="H218" s="6" t="n">
        <v>4</v>
      </c>
      <c r="I218" s="7" t="n">
        <v>8500</v>
      </c>
      <c r="J218" s="8" t="n">
        <v>0.15</v>
      </c>
      <c r="K218" s="7" t="n">
        <v>3200</v>
      </c>
      <c r="L218" s="9" t="n">
        <f aca="false">H218*I218*(1-J218)</f>
        <v>28900</v>
      </c>
      <c r="M218" s="9" t="n">
        <f aca="false">L218-H218*K218</f>
        <v>16100</v>
      </c>
      <c r="N218" s="2" t="s">
        <v>34</v>
      </c>
    </row>
    <row r="219" customFormat="false" ht="15" hidden="false" customHeight="false" outlineLevel="0" collapsed="false">
      <c r="A219" s="2" t="s">
        <v>289</v>
      </c>
      <c r="B219" s="5" t="n">
        <v>46180</v>
      </c>
      <c r="C219" s="2" t="s">
        <v>43</v>
      </c>
      <c r="D219" s="2" t="s">
        <v>44</v>
      </c>
      <c r="E219" s="2" t="s">
        <v>120</v>
      </c>
      <c r="F219" s="2" t="s">
        <v>80</v>
      </c>
      <c r="G219" s="2" t="s">
        <v>40</v>
      </c>
      <c r="H219" s="6" t="n">
        <v>4</v>
      </c>
      <c r="I219" s="7" t="n">
        <v>9800</v>
      </c>
      <c r="J219" s="8" t="n">
        <v>0.1</v>
      </c>
      <c r="K219" s="7" t="n">
        <v>7200</v>
      </c>
      <c r="L219" s="9" t="n">
        <f aca="false">H219*I219*(1-J219)</f>
        <v>35280</v>
      </c>
      <c r="M219" s="9" t="n">
        <f aca="false">L219-H219*K219</f>
        <v>6480</v>
      </c>
      <c r="N219" s="2" t="s">
        <v>34</v>
      </c>
    </row>
    <row r="220" customFormat="false" ht="15" hidden="false" customHeight="false" outlineLevel="0" collapsed="false">
      <c r="A220" s="2" t="s">
        <v>290</v>
      </c>
      <c r="B220" s="5" t="n">
        <v>46181</v>
      </c>
      <c r="C220" s="2" t="s">
        <v>36</v>
      </c>
      <c r="D220" s="2" t="s">
        <v>37</v>
      </c>
      <c r="E220" s="2" t="s">
        <v>54</v>
      </c>
      <c r="F220" s="2" t="s">
        <v>50</v>
      </c>
      <c r="G220" s="2" t="s">
        <v>40</v>
      </c>
      <c r="H220" s="6" t="n">
        <v>10</v>
      </c>
      <c r="I220" s="7" t="n">
        <v>1450</v>
      </c>
      <c r="J220" s="8" t="n">
        <v>0</v>
      </c>
      <c r="K220" s="7" t="n">
        <v>1050</v>
      </c>
      <c r="L220" s="9" t="n">
        <f aca="false">H220*I220*(1-J220)</f>
        <v>14500</v>
      </c>
      <c r="M220" s="9" t="n">
        <f aca="false">L220-H220*K220</f>
        <v>4000</v>
      </c>
      <c r="N220" s="2" t="s">
        <v>34</v>
      </c>
    </row>
    <row r="221" customFormat="false" ht="15" hidden="false" customHeight="false" outlineLevel="0" collapsed="false">
      <c r="A221" s="2" t="s">
        <v>291</v>
      </c>
      <c r="B221" s="5" t="n">
        <v>46182</v>
      </c>
      <c r="C221" s="2" t="s">
        <v>52</v>
      </c>
      <c r="D221" s="2" t="s">
        <v>53</v>
      </c>
      <c r="E221" s="2" t="s">
        <v>82</v>
      </c>
      <c r="F221" s="2" t="s">
        <v>68</v>
      </c>
      <c r="G221" s="2" t="s">
        <v>69</v>
      </c>
      <c r="H221" s="6" t="n">
        <v>15</v>
      </c>
      <c r="I221" s="7" t="n">
        <v>600</v>
      </c>
      <c r="J221" s="8" t="n">
        <v>0.3</v>
      </c>
      <c r="K221" s="7" t="n">
        <v>520</v>
      </c>
      <c r="L221" s="9" t="n">
        <f aca="false">H221*I221*(1-J221)</f>
        <v>6300</v>
      </c>
      <c r="M221" s="9" t="n">
        <f aca="false">L221-H221*K221</f>
        <v>-1500</v>
      </c>
      <c r="N221" s="2" t="s">
        <v>34</v>
      </c>
    </row>
    <row r="222" customFormat="false" ht="15" hidden="false" customHeight="false" outlineLevel="0" collapsed="false">
      <c r="A222" s="2" t="s">
        <v>292</v>
      </c>
      <c r="B222" s="5" t="n">
        <v>46185</v>
      </c>
      <c r="C222" s="2" t="s">
        <v>52</v>
      </c>
      <c r="D222" s="2" t="s">
        <v>53</v>
      </c>
      <c r="E222" s="2" t="s">
        <v>54</v>
      </c>
      <c r="F222" s="2" t="s">
        <v>85</v>
      </c>
      <c r="G222" s="2" t="s">
        <v>33</v>
      </c>
      <c r="H222" s="6" t="n">
        <v>7</v>
      </c>
      <c r="I222" s="7" t="n">
        <v>2400</v>
      </c>
      <c r="J222" s="8" t="n">
        <v>0.1</v>
      </c>
      <c r="K222" s="7" t="n">
        <v>900</v>
      </c>
      <c r="L222" s="9" t="n">
        <f aca="false">H222*I222*(1-J222)</f>
        <v>15120</v>
      </c>
      <c r="M222" s="9" t="n">
        <f aca="false">L222-H222*K222</f>
        <v>8820</v>
      </c>
      <c r="N222" s="2" t="s">
        <v>34</v>
      </c>
    </row>
    <row r="223" customFormat="false" ht="15" hidden="false" customHeight="false" outlineLevel="0" collapsed="false">
      <c r="A223" s="2" t="s">
        <v>293</v>
      </c>
      <c r="B223" s="5" t="n">
        <v>46186</v>
      </c>
      <c r="C223" s="2" t="s">
        <v>52</v>
      </c>
      <c r="D223" s="2" t="s">
        <v>72</v>
      </c>
      <c r="E223" s="2" t="s">
        <v>54</v>
      </c>
      <c r="F223" s="2" t="s">
        <v>80</v>
      </c>
      <c r="G223" s="2" t="s">
        <v>40</v>
      </c>
      <c r="H223" s="6" t="n">
        <v>4</v>
      </c>
      <c r="I223" s="7" t="n">
        <v>9800</v>
      </c>
      <c r="J223" s="8" t="n">
        <v>0</v>
      </c>
      <c r="K223" s="7" t="n">
        <v>7200</v>
      </c>
      <c r="L223" s="9" t="n">
        <f aca="false">H223*I223*(1-J223)</f>
        <v>39200</v>
      </c>
      <c r="M223" s="9" t="n">
        <f aca="false">L223-H223*K223</f>
        <v>10400</v>
      </c>
      <c r="N223" s="2" t="s">
        <v>34</v>
      </c>
    </row>
    <row r="224" customFormat="false" ht="15" hidden="false" customHeight="false" outlineLevel="0" collapsed="false">
      <c r="A224" s="2" t="s">
        <v>294</v>
      </c>
      <c r="B224" s="5" t="n">
        <v>46186</v>
      </c>
      <c r="C224" s="2" t="s">
        <v>36</v>
      </c>
      <c r="D224" s="2" t="s">
        <v>37</v>
      </c>
      <c r="E224" s="2" t="s">
        <v>60</v>
      </c>
      <c r="F224" s="2" t="s">
        <v>46</v>
      </c>
      <c r="G224" s="2" t="s">
        <v>40</v>
      </c>
      <c r="H224" s="6" t="n">
        <v>20</v>
      </c>
      <c r="I224" s="7" t="n">
        <v>320</v>
      </c>
      <c r="J224" s="8" t="n">
        <v>0.1</v>
      </c>
      <c r="K224" s="7" t="n">
        <v>240</v>
      </c>
      <c r="L224" s="9" t="n">
        <f aca="false">H224*I224*(1-J224)</f>
        <v>5760</v>
      </c>
      <c r="M224" s="9" t="n">
        <f aca="false">L224-H224*K224</f>
        <v>960</v>
      </c>
      <c r="N224" s="2" t="s">
        <v>34</v>
      </c>
    </row>
    <row r="225" customFormat="false" ht="15" hidden="false" customHeight="false" outlineLevel="0" collapsed="false">
      <c r="A225" s="2" t="s">
        <v>295</v>
      </c>
      <c r="B225" s="5" t="n">
        <v>46187</v>
      </c>
      <c r="C225" s="2" t="s">
        <v>36</v>
      </c>
      <c r="D225" s="2" t="s">
        <v>62</v>
      </c>
      <c r="E225" s="2" t="s">
        <v>106</v>
      </c>
      <c r="F225" s="2" t="s">
        <v>88</v>
      </c>
      <c r="G225" s="2" t="s">
        <v>69</v>
      </c>
      <c r="H225" s="6" t="n">
        <v>3</v>
      </c>
      <c r="I225" s="7" t="n">
        <v>1800</v>
      </c>
      <c r="J225" s="8" t="n">
        <v>0</v>
      </c>
      <c r="K225" s="7" t="n">
        <v>1000</v>
      </c>
      <c r="L225" s="9" t="n">
        <f aca="false">H225*I225*(1-J225)</f>
        <v>5400</v>
      </c>
      <c r="M225" s="9" t="n">
        <f aca="false">L225-H225*K225</f>
        <v>2400</v>
      </c>
      <c r="N225" s="2" t="s">
        <v>34</v>
      </c>
    </row>
    <row r="226" customFormat="false" ht="15" hidden="false" customHeight="false" outlineLevel="0" collapsed="false">
      <c r="A226" s="2" t="s">
        <v>296</v>
      </c>
      <c r="B226" s="5" t="n">
        <v>46189</v>
      </c>
      <c r="C226" s="2" t="s">
        <v>36</v>
      </c>
      <c r="D226" s="2" t="s">
        <v>62</v>
      </c>
      <c r="E226" s="2" t="s">
        <v>38</v>
      </c>
      <c r="F226" s="2" t="s">
        <v>68</v>
      </c>
      <c r="G226" s="2" t="s">
        <v>69</v>
      </c>
      <c r="H226" s="6" t="n">
        <v>25</v>
      </c>
      <c r="I226" s="7" t="n">
        <v>600</v>
      </c>
      <c r="J226" s="8" t="n">
        <v>0.25</v>
      </c>
      <c r="K226" s="7" t="n">
        <v>520</v>
      </c>
      <c r="L226" s="9" t="n">
        <f aca="false">H226*I226*(1-J226)</f>
        <v>11250</v>
      </c>
      <c r="M226" s="9" t="n">
        <f aca="false">L226-H226*K226</f>
        <v>-1750</v>
      </c>
      <c r="N226" s="2" t="s">
        <v>34</v>
      </c>
    </row>
    <row r="227" customFormat="false" ht="15" hidden="false" customHeight="false" outlineLevel="0" collapsed="false">
      <c r="A227" s="2" t="s">
        <v>297</v>
      </c>
      <c r="B227" s="5" t="n">
        <v>46190</v>
      </c>
      <c r="C227" s="2" t="s">
        <v>29</v>
      </c>
      <c r="D227" s="2" t="s">
        <v>30</v>
      </c>
      <c r="E227" s="2" t="s">
        <v>66</v>
      </c>
      <c r="F227" s="2" t="s">
        <v>73</v>
      </c>
      <c r="G227" s="2" t="s">
        <v>33</v>
      </c>
      <c r="H227" s="6" t="n">
        <v>1</v>
      </c>
      <c r="I227" s="7" t="n">
        <v>6200</v>
      </c>
      <c r="J227" s="8" t="n">
        <v>0.15</v>
      </c>
      <c r="K227" s="7" t="n">
        <v>2600</v>
      </c>
      <c r="L227" s="9" t="n">
        <f aca="false">H227*I227*(1-J227)</f>
        <v>5270</v>
      </c>
      <c r="M227" s="9" t="n">
        <f aca="false">L227-H227*K227</f>
        <v>2670</v>
      </c>
      <c r="N227" s="2" t="s">
        <v>34</v>
      </c>
    </row>
    <row r="228" customFormat="false" ht="15" hidden="false" customHeight="false" outlineLevel="0" collapsed="false">
      <c r="A228" s="2" t="s">
        <v>298</v>
      </c>
      <c r="B228" s="5" t="n">
        <v>46191</v>
      </c>
      <c r="C228" s="2" t="s">
        <v>52</v>
      </c>
      <c r="D228" s="2" t="s">
        <v>72</v>
      </c>
      <c r="E228" s="2" t="s">
        <v>82</v>
      </c>
      <c r="F228" s="2" t="s">
        <v>88</v>
      </c>
      <c r="G228" s="2" t="s">
        <v>69</v>
      </c>
      <c r="H228" s="6" t="n">
        <v>25</v>
      </c>
      <c r="I228" s="7" t="n">
        <v>1800</v>
      </c>
      <c r="J228" s="8" t="n">
        <v>0</v>
      </c>
      <c r="K228" s="7" t="n">
        <v>1000</v>
      </c>
      <c r="L228" s="9" t="n">
        <f aca="false">H228*I228*(1-J228)</f>
        <v>45000</v>
      </c>
      <c r="M228" s="9" t="n">
        <f aca="false">L228-H228*K228</f>
        <v>20000</v>
      </c>
      <c r="N228" s="2" t="s">
        <v>34</v>
      </c>
    </row>
    <row r="229" customFormat="false" ht="15" hidden="false" customHeight="false" outlineLevel="0" collapsed="false">
      <c r="A229" s="2" t="s">
        <v>299</v>
      </c>
      <c r="B229" s="5" t="n">
        <v>46191</v>
      </c>
      <c r="C229" s="2" t="s">
        <v>36</v>
      </c>
      <c r="D229" s="2" t="s">
        <v>37</v>
      </c>
      <c r="E229" s="2" t="s">
        <v>109</v>
      </c>
      <c r="F229" s="2" t="s">
        <v>32</v>
      </c>
      <c r="G229" s="2" t="s">
        <v>33</v>
      </c>
      <c r="H229" s="6" t="n">
        <v>1</v>
      </c>
      <c r="I229" s="7" t="n">
        <v>8500</v>
      </c>
      <c r="J229" s="8" t="n">
        <v>0.15</v>
      </c>
      <c r="K229" s="7" t="n">
        <v>3200</v>
      </c>
      <c r="L229" s="9" t="n">
        <f aca="false">H229*I229*(1-J229)</f>
        <v>7225</v>
      </c>
      <c r="M229" s="9" t="n">
        <f aca="false">L229-H229*K229</f>
        <v>4025</v>
      </c>
      <c r="N229" s="2" t="s">
        <v>34</v>
      </c>
    </row>
    <row r="230" customFormat="false" ht="15" hidden="false" customHeight="false" outlineLevel="0" collapsed="false">
      <c r="A230" s="2" t="s">
        <v>300</v>
      </c>
      <c r="B230" s="5" t="n">
        <v>46193</v>
      </c>
      <c r="C230" s="2" t="s">
        <v>29</v>
      </c>
      <c r="D230" s="2" t="s">
        <v>30</v>
      </c>
      <c r="E230" s="2" t="s">
        <v>84</v>
      </c>
      <c r="F230" s="2" t="s">
        <v>75</v>
      </c>
      <c r="G230" s="2" t="s">
        <v>33</v>
      </c>
      <c r="H230" s="6" t="n">
        <v>4</v>
      </c>
      <c r="I230" s="7" t="n">
        <v>12000</v>
      </c>
      <c r="J230" s="8" t="n">
        <v>0.2</v>
      </c>
      <c r="K230" s="7" t="n">
        <v>5000</v>
      </c>
      <c r="L230" s="9" t="n">
        <f aca="false">H230*I230*(1-J230)</f>
        <v>38400</v>
      </c>
      <c r="M230" s="9" t="n">
        <f aca="false">L230-H230*K230</f>
        <v>18400</v>
      </c>
      <c r="N230" s="2" t="s">
        <v>34</v>
      </c>
    </row>
    <row r="231" customFormat="false" ht="15" hidden="false" customHeight="false" outlineLevel="0" collapsed="false">
      <c r="A231" s="2" t="s">
        <v>301</v>
      </c>
      <c r="B231" s="5" t="n">
        <v>46193</v>
      </c>
      <c r="C231" s="2" t="s">
        <v>36</v>
      </c>
      <c r="D231" s="2" t="s">
        <v>37</v>
      </c>
      <c r="E231" s="2" t="s">
        <v>82</v>
      </c>
      <c r="F231" s="2" t="s">
        <v>32</v>
      </c>
      <c r="G231" s="2" t="s">
        <v>33</v>
      </c>
      <c r="H231" s="6" t="n">
        <v>2</v>
      </c>
      <c r="I231" s="7" t="n">
        <v>8500</v>
      </c>
      <c r="J231" s="8" t="n">
        <v>0.05</v>
      </c>
      <c r="K231" s="7" t="n">
        <v>3200</v>
      </c>
      <c r="L231" s="9" t="n">
        <f aca="false">H231*I231*(1-J231)</f>
        <v>16150</v>
      </c>
      <c r="M231" s="9" t="n">
        <f aca="false">L231-H231*K231</f>
        <v>9750</v>
      </c>
      <c r="N231" s="2" t="s">
        <v>34</v>
      </c>
    </row>
    <row r="232" customFormat="false" ht="15" hidden="false" customHeight="false" outlineLevel="0" collapsed="false">
      <c r="A232" s="2" t="s">
        <v>302</v>
      </c>
      <c r="B232" s="5" t="n">
        <v>46195</v>
      </c>
      <c r="C232" s="2" t="s">
        <v>52</v>
      </c>
      <c r="D232" s="2" t="s">
        <v>72</v>
      </c>
      <c r="E232" s="2" t="s">
        <v>63</v>
      </c>
      <c r="F232" s="2" t="s">
        <v>85</v>
      </c>
      <c r="G232" s="2" t="s">
        <v>33</v>
      </c>
      <c r="H232" s="6" t="n">
        <v>5</v>
      </c>
      <c r="I232" s="7" t="n">
        <v>2400</v>
      </c>
      <c r="J232" s="8" t="n">
        <v>0.1</v>
      </c>
      <c r="K232" s="7" t="n">
        <v>900</v>
      </c>
      <c r="L232" s="9" t="n">
        <f aca="false">H232*I232*(1-J232)</f>
        <v>10800</v>
      </c>
      <c r="M232" s="9" t="n">
        <f aca="false">L232-H232*K232</f>
        <v>6300</v>
      </c>
      <c r="N232" s="2" t="s">
        <v>34</v>
      </c>
    </row>
    <row r="233" customFormat="false" ht="15" hidden="false" customHeight="false" outlineLevel="0" collapsed="false">
      <c r="A233" s="2" t="s">
        <v>303</v>
      </c>
      <c r="B233" s="5" t="n">
        <v>46197</v>
      </c>
      <c r="C233" s="2" t="s">
        <v>29</v>
      </c>
      <c r="D233" s="2" t="s">
        <v>48</v>
      </c>
      <c r="E233" s="2" t="s">
        <v>109</v>
      </c>
      <c r="F233" s="2" t="s">
        <v>85</v>
      </c>
      <c r="G233" s="2" t="s">
        <v>33</v>
      </c>
      <c r="H233" s="6" t="n">
        <v>4</v>
      </c>
      <c r="I233" s="7" t="n">
        <v>2400</v>
      </c>
      <c r="J233" s="8" t="n">
        <v>0.2</v>
      </c>
      <c r="K233" s="7" t="n">
        <v>900</v>
      </c>
      <c r="L233" s="9" t="n">
        <f aca="false">H233*I233*(1-J233)</f>
        <v>7680</v>
      </c>
      <c r="M233" s="9" t="n">
        <f aca="false">L233-H233*K233</f>
        <v>4080</v>
      </c>
      <c r="N233" s="2" t="s">
        <v>34</v>
      </c>
    </row>
    <row r="234" customFormat="false" ht="15" hidden="false" customHeight="false" outlineLevel="0" collapsed="false">
      <c r="A234" s="2" t="s">
        <v>304</v>
      </c>
      <c r="B234" s="5" t="n">
        <v>46199</v>
      </c>
      <c r="C234" s="2" t="s">
        <v>52</v>
      </c>
      <c r="D234" s="2" t="s">
        <v>72</v>
      </c>
      <c r="E234" s="2" t="s">
        <v>84</v>
      </c>
      <c r="F234" s="2" t="s">
        <v>50</v>
      </c>
      <c r="G234" s="2" t="s">
        <v>40</v>
      </c>
      <c r="H234" s="6" t="n">
        <v>3</v>
      </c>
      <c r="I234" s="7" t="n">
        <v>1450</v>
      </c>
      <c r="J234" s="8" t="n">
        <v>0.15</v>
      </c>
      <c r="K234" s="7" t="n">
        <v>1050</v>
      </c>
      <c r="L234" s="9" t="n">
        <f aca="false">H234*I234*(1-J234)</f>
        <v>3697.5</v>
      </c>
      <c r="M234" s="9" t="n">
        <f aca="false">L234-H234*K234</f>
        <v>547.5</v>
      </c>
      <c r="N234" s="2" t="s">
        <v>34</v>
      </c>
    </row>
    <row r="235" customFormat="false" ht="15" hidden="false" customHeight="false" outlineLevel="0" collapsed="false">
      <c r="A235" s="2" t="s">
        <v>305</v>
      </c>
      <c r="B235" s="5" t="n">
        <v>46202</v>
      </c>
      <c r="C235" s="2" t="s">
        <v>29</v>
      </c>
      <c r="D235" s="2" t="s">
        <v>30</v>
      </c>
      <c r="E235" s="2" t="s">
        <v>31</v>
      </c>
      <c r="F235" s="2" t="s">
        <v>80</v>
      </c>
      <c r="G235" s="2" t="s">
        <v>40</v>
      </c>
      <c r="H235" s="6" t="n">
        <v>2</v>
      </c>
      <c r="I235" s="7" t="n">
        <v>9800</v>
      </c>
      <c r="J235" s="8" t="n">
        <v>0</v>
      </c>
      <c r="K235" s="7" t="n">
        <v>7200</v>
      </c>
      <c r="L235" s="9" t="n">
        <f aca="false">H235*I235*(1-J235)</f>
        <v>19600</v>
      </c>
      <c r="M235" s="9" t="n">
        <f aca="false">L235-H235*K235</f>
        <v>5200</v>
      </c>
      <c r="N235" s="2" t="s">
        <v>34</v>
      </c>
    </row>
    <row r="236" customFormat="false" ht="15" hidden="false" customHeight="false" outlineLevel="0" collapsed="false">
      <c r="A236" s="2" t="s">
        <v>306</v>
      </c>
      <c r="B236" s="5" t="n">
        <v>46202</v>
      </c>
      <c r="C236" s="2" t="s">
        <v>52</v>
      </c>
      <c r="D236" s="2" t="s">
        <v>53</v>
      </c>
      <c r="E236" s="2" t="s">
        <v>66</v>
      </c>
      <c r="F236" s="2" t="s">
        <v>73</v>
      </c>
      <c r="G236" s="2" t="s">
        <v>33</v>
      </c>
      <c r="H236" s="6" t="n">
        <v>2</v>
      </c>
      <c r="I236" s="7" t="n">
        <v>6200</v>
      </c>
      <c r="J236" s="8" t="n">
        <v>0</v>
      </c>
      <c r="K236" s="7" t="n">
        <v>2600</v>
      </c>
      <c r="L236" s="9" t="n">
        <f aca="false">H236*I236*(1-J236)</f>
        <v>12400</v>
      </c>
      <c r="M236" s="9" t="n">
        <f aca="false">L236-H236*K236</f>
        <v>7200</v>
      </c>
      <c r="N236" s="2" t="s">
        <v>34</v>
      </c>
    </row>
    <row r="237" customFormat="false" ht="15" hidden="false" customHeight="false" outlineLevel="0" collapsed="false">
      <c r="A237" s="2" t="s">
        <v>307</v>
      </c>
      <c r="B237" s="5" t="n">
        <v>46203</v>
      </c>
      <c r="C237" s="2" t="s">
        <v>36</v>
      </c>
      <c r="D237" s="2" t="s">
        <v>37</v>
      </c>
      <c r="E237" s="2" t="s">
        <v>82</v>
      </c>
      <c r="F237" s="2" t="s">
        <v>46</v>
      </c>
      <c r="G237" s="2" t="s">
        <v>40</v>
      </c>
      <c r="H237" s="6" t="n">
        <v>3</v>
      </c>
      <c r="I237" s="7" t="n">
        <v>320</v>
      </c>
      <c r="J237" s="8" t="n">
        <v>0</v>
      </c>
      <c r="K237" s="7" t="n">
        <v>240</v>
      </c>
      <c r="L237" s="9" t="n">
        <f aca="false">H237*I237*(1-J237)</f>
        <v>960</v>
      </c>
      <c r="M237" s="9" t="n">
        <f aca="false">L237-H237*K237</f>
        <v>240</v>
      </c>
      <c r="N237" s="2" t="s">
        <v>34</v>
      </c>
    </row>
    <row r="238" customFormat="false" ht="15" hidden="false" customHeight="false" outlineLevel="0" collapsed="false">
      <c r="A238" s="2" t="s">
        <v>308</v>
      </c>
      <c r="B238" s="5" t="n">
        <v>46205</v>
      </c>
      <c r="C238" s="2" t="s">
        <v>36</v>
      </c>
      <c r="D238" s="2" t="s">
        <v>37</v>
      </c>
      <c r="E238" s="2" t="s">
        <v>82</v>
      </c>
      <c r="F238" s="2" t="s">
        <v>85</v>
      </c>
      <c r="G238" s="2" t="s">
        <v>33</v>
      </c>
      <c r="H238" s="6" t="n">
        <v>1</v>
      </c>
      <c r="I238" s="7" t="n">
        <v>2400</v>
      </c>
      <c r="J238" s="8" t="n">
        <v>0.15</v>
      </c>
      <c r="K238" s="7" t="n">
        <v>900</v>
      </c>
      <c r="L238" s="9" t="n">
        <f aca="false">H238*I238*(1-J238)</f>
        <v>2040</v>
      </c>
      <c r="M238" s="9" t="n">
        <f aca="false">L238-H238*K238</f>
        <v>1140</v>
      </c>
      <c r="N238" s="2" t="s">
        <v>34</v>
      </c>
    </row>
    <row r="239" customFormat="false" ht="15" hidden="false" customHeight="false" outlineLevel="0" collapsed="false">
      <c r="A239" s="2" t="s">
        <v>309</v>
      </c>
      <c r="B239" s="5" t="n">
        <v>46207</v>
      </c>
      <c r="C239" s="2" t="s">
        <v>43</v>
      </c>
      <c r="D239" s="2" t="s">
        <v>91</v>
      </c>
      <c r="E239" s="2" t="s">
        <v>106</v>
      </c>
      <c r="F239" s="2" t="s">
        <v>46</v>
      </c>
      <c r="G239" s="2" t="s">
        <v>40</v>
      </c>
      <c r="H239" s="6" t="n">
        <v>15</v>
      </c>
      <c r="I239" s="7" t="n">
        <v>320</v>
      </c>
      <c r="J239" s="8" t="n">
        <v>0.05</v>
      </c>
      <c r="K239" s="7" t="n">
        <v>240</v>
      </c>
      <c r="L239" s="9" t="n">
        <f aca="false">H239*I239*(1-J239)</f>
        <v>4560</v>
      </c>
      <c r="M239" s="9" t="n">
        <f aca="false">L239-H239*K239</f>
        <v>960</v>
      </c>
      <c r="N239" s="2" t="s">
        <v>34</v>
      </c>
    </row>
    <row r="240" customFormat="false" ht="15" hidden="false" customHeight="false" outlineLevel="0" collapsed="false">
      <c r="A240" s="2" t="s">
        <v>310</v>
      </c>
      <c r="B240" s="5" t="n">
        <v>46209</v>
      </c>
      <c r="C240" s="2" t="s">
        <v>36</v>
      </c>
      <c r="D240" s="2" t="s">
        <v>62</v>
      </c>
      <c r="E240" s="2" t="s">
        <v>38</v>
      </c>
      <c r="F240" s="2" t="s">
        <v>75</v>
      </c>
      <c r="G240" s="2" t="s">
        <v>33</v>
      </c>
      <c r="H240" s="6" t="n">
        <v>3</v>
      </c>
      <c r="I240" s="7" t="n">
        <v>12000</v>
      </c>
      <c r="J240" s="8" t="n">
        <v>0.1</v>
      </c>
      <c r="K240" s="7" t="n">
        <v>5000</v>
      </c>
      <c r="L240" s="9" t="n">
        <f aca="false">H240*I240*(1-J240)</f>
        <v>32400</v>
      </c>
      <c r="M240" s="9" t="n">
        <f aca="false">L240-H240*K240</f>
        <v>17400</v>
      </c>
      <c r="N240" s="2" t="s">
        <v>34</v>
      </c>
    </row>
    <row r="241" customFormat="false" ht="15" hidden="false" customHeight="false" outlineLevel="0" collapsed="false">
      <c r="A241" s="2" t="s">
        <v>311</v>
      </c>
      <c r="B241" s="5" t="n">
        <v>46213</v>
      </c>
      <c r="C241" s="2" t="s">
        <v>36</v>
      </c>
      <c r="D241" s="2" t="s">
        <v>62</v>
      </c>
      <c r="E241" s="2" t="s">
        <v>82</v>
      </c>
      <c r="F241" s="2" t="s">
        <v>32</v>
      </c>
      <c r="G241" s="2" t="s">
        <v>33</v>
      </c>
      <c r="H241" s="6" t="n">
        <v>3</v>
      </c>
      <c r="I241" s="7" t="n">
        <v>8500</v>
      </c>
      <c r="J241" s="8" t="n">
        <v>0</v>
      </c>
      <c r="K241" s="7" t="n">
        <v>3200</v>
      </c>
      <c r="L241" s="9" t="n">
        <f aca="false">H241*I241*(1-J241)</f>
        <v>25500</v>
      </c>
      <c r="M241" s="9" t="n">
        <f aca="false">L241-H241*K241</f>
        <v>15900</v>
      </c>
      <c r="N241" s="2" t="s">
        <v>34</v>
      </c>
    </row>
    <row r="242" customFormat="false" ht="15" hidden="false" customHeight="false" outlineLevel="0" collapsed="false">
      <c r="A242" s="2" t="s">
        <v>312</v>
      </c>
      <c r="B242" s="5" t="n">
        <v>46214</v>
      </c>
      <c r="C242" s="2" t="s">
        <v>29</v>
      </c>
      <c r="D242" s="2" t="s">
        <v>48</v>
      </c>
      <c r="E242" s="2" t="s">
        <v>109</v>
      </c>
      <c r="F242" s="2" t="s">
        <v>85</v>
      </c>
      <c r="G242" s="2" t="s">
        <v>33</v>
      </c>
      <c r="H242" s="6" t="n">
        <v>8</v>
      </c>
      <c r="I242" s="7" t="n">
        <v>2400</v>
      </c>
      <c r="J242" s="8" t="n">
        <v>0.2</v>
      </c>
      <c r="K242" s="7" t="n">
        <v>900</v>
      </c>
      <c r="L242" s="9" t="n">
        <f aca="false">H242*I242*(1-J242)</f>
        <v>15360</v>
      </c>
      <c r="M242" s="9" t="n">
        <f aca="false">L242-H242*K242</f>
        <v>8160</v>
      </c>
      <c r="N242" s="2" t="s">
        <v>34</v>
      </c>
    </row>
    <row r="243" customFormat="false" ht="15" hidden="false" customHeight="false" outlineLevel="0" collapsed="false">
      <c r="A243" s="2" t="s">
        <v>313</v>
      </c>
      <c r="B243" s="5" t="n">
        <v>46215</v>
      </c>
      <c r="C243" s="2" t="s">
        <v>43</v>
      </c>
      <c r="D243" s="2" t="s">
        <v>44</v>
      </c>
      <c r="E243" s="2" t="s">
        <v>54</v>
      </c>
      <c r="F243" s="2" t="s">
        <v>50</v>
      </c>
      <c r="G243" s="2" t="s">
        <v>40</v>
      </c>
      <c r="H243" s="6" t="n">
        <v>10</v>
      </c>
      <c r="I243" s="7" t="n">
        <v>1450</v>
      </c>
      <c r="J243" s="8" t="n">
        <v>0.2</v>
      </c>
      <c r="K243" s="7" t="n">
        <v>1050</v>
      </c>
      <c r="L243" s="9" t="n">
        <f aca="false">H243*I243*(1-J243)</f>
        <v>11600</v>
      </c>
      <c r="M243" s="9" t="n">
        <f aca="false">L243-H243*K243</f>
        <v>1100</v>
      </c>
      <c r="N243" s="2" t="s">
        <v>34</v>
      </c>
    </row>
    <row r="244" customFormat="false" ht="15" hidden="false" customHeight="false" outlineLevel="0" collapsed="false">
      <c r="A244" s="2" t="s">
        <v>314</v>
      </c>
      <c r="B244" s="5" t="n">
        <v>46215</v>
      </c>
      <c r="C244" s="2" t="s">
        <v>36</v>
      </c>
      <c r="D244" s="2" t="s">
        <v>37</v>
      </c>
      <c r="E244" s="2" t="s">
        <v>54</v>
      </c>
      <c r="F244" s="2" t="s">
        <v>88</v>
      </c>
      <c r="G244" s="2" t="s">
        <v>69</v>
      </c>
      <c r="H244" s="6" t="n">
        <v>3</v>
      </c>
      <c r="I244" s="7" t="n">
        <v>1800</v>
      </c>
      <c r="J244" s="8" t="n">
        <v>0.15</v>
      </c>
      <c r="K244" s="7" t="n">
        <v>1000</v>
      </c>
      <c r="L244" s="9" t="n">
        <f aca="false">H244*I244*(1-J244)</f>
        <v>4590</v>
      </c>
      <c r="M244" s="9" t="n">
        <f aca="false">L244-H244*K244</f>
        <v>1590</v>
      </c>
      <c r="N244" s="2" t="s">
        <v>34</v>
      </c>
    </row>
    <row r="245" customFormat="false" ht="15" hidden="false" customHeight="false" outlineLevel="0" collapsed="false">
      <c r="A245" s="2" t="s">
        <v>315</v>
      </c>
      <c r="B245" s="5" t="n">
        <v>46216</v>
      </c>
      <c r="C245" s="2" t="s">
        <v>36</v>
      </c>
      <c r="D245" s="2" t="s">
        <v>37</v>
      </c>
      <c r="E245" s="2" t="s">
        <v>60</v>
      </c>
      <c r="F245" s="2" t="s">
        <v>32</v>
      </c>
      <c r="G245" s="2" t="s">
        <v>33</v>
      </c>
      <c r="H245" s="6" t="n">
        <v>2</v>
      </c>
      <c r="I245" s="7" t="n">
        <v>8500</v>
      </c>
      <c r="J245" s="8" t="n">
        <v>0.2</v>
      </c>
      <c r="K245" s="7" t="n">
        <v>3200</v>
      </c>
      <c r="L245" s="9" t="n">
        <f aca="false">H245*I245*(1-J245)</f>
        <v>13600</v>
      </c>
      <c r="M245" s="9" t="n">
        <f aca="false">L245-H245*K245</f>
        <v>7200</v>
      </c>
      <c r="N245" s="2" t="s">
        <v>34</v>
      </c>
    </row>
    <row r="246" customFormat="false" ht="15" hidden="false" customHeight="false" outlineLevel="0" collapsed="false">
      <c r="A246" s="2" t="s">
        <v>316</v>
      </c>
      <c r="B246" s="5" t="n">
        <v>46220</v>
      </c>
      <c r="C246" s="2" t="s">
        <v>43</v>
      </c>
      <c r="D246" s="2" t="s">
        <v>91</v>
      </c>
      <c r="E246" s="2" t="s">
        <v>106</v>
      </c>
      <c r="F246" s="2" t="s">
        <v>73</v>
      </c>
      <c r="G246" s="2" t="s">
        <v>33</v>
      </c>
      <c r="H246" s="6" t="n">
        <v>1</v>
      </c>
      <c r="I246" s="7" t="n">
        <v>6200</v>
      </c>
      <c r="J246" s="8" t="n">
        <v>0</v>
      </c>
      <c r="K246" s="7" t="n">
        <v>2600</v>
      </c>
      <c r="L246" s="9" t="n">
        <f aca="false">H246*I246*(1-J246)</f>
        <v>6200</v>
      </c>
      <c r="M246" s="9" t="n">
        <f aca="false">L246-H246*K246</f>
        <v>3600</v>
      </c>
      <c r="N246" s="2" t="s">
        <v>34</v>
      </c>
    </row>
    <row r="247" customFormat="false" ht="15" hidden="false" customHeight="false" outlineLevel="0" collapsed="false">
      <c r="A247" s="2" t="s">
        <v>317</v>
      </c>
      <c r="B247" s="5" t="n">
        <v>46221</v>
      </c>
      <c r="C247" s="2" t="s">
        <v>43</v>
      </c>
      <c r="D247" s="2" t="s">
        <v>44</v>
      </c>
      <c r="E247" s="2" t="s">
        <v>63</v>
      </c>
      <c r="F247" s="2" t="s">
        <v>73</v>
      </c>
      <c r="G247" s="2" t="s">
        <v>33</v>
      </c>
      <c r="H247" s="6" t="n">
        <v>3</v>
      </c>
      <c r="I247" s="7" t="n">
        <v>6200</v>
      </c>
      <c r="J247" s="8" t="n">
        <v>0</v>
      </c>
      <c r="K247" s="7" t="n">
        <v>2600</v>
      </c>
      <c r="L247" s="9" t="n">
        <f aca="false">H247*I247*(1-J247)</f>
        <v>18600</v>
      </c>
      <c r="M247" s="9" t="n">
        <f aca="false">L247-H247*K247</f>
        <v>10800</v>
      </c>
      <c r="N247" s="2" t="s">
        <v>34</v>
      </c>
    </row>
    <row r="248" customFormat="false" ht="15" hidden="false" customHeight="false" outlineLevel="0" collapsed="false">
      <c r="A248" s="2" t="s">
        <v>318</v>
      </c>
      <c r="B248" s="5" t="n">
        <v>46222</v>
      </c>
      <c r="C248" s="2" t="s">
        <v>52</v>
      </c>
      <c r="D248" s="2" t="s">
        <v>72</v>
      </c>
      <c r="E248" s="2" t="s">
        <v>45</v>
      </c>
      <c r="F248" s="2" t="s">
        <v>50</v>
      </c>
      <c r="G248" s="2" t="s">
        <v>40</v>
      </c>
      <c r="H248" s="6" t="n">
        <v>5</v>
      </c>
      <c r="I248" s="7" t="n">
        <v>1450</v>
      </c>
      <c r="J248" s="8" t="n">
        <v>0.05</v>
      </c>
      <c r="K248" s="7" t="n">
        <v>1050</v>
      </c>
      <c r="L248" s="9" t="n">
        <f aca="false">H248*I248*(1-J248)</f>
        <v>6887.5</v>
      </c>
      <c r="M248" s="9" t="n">
        <f aca="false">L248-H248*K248</f>
        <v>1637.5</v>
      </c>
      <c r="N248" s="2" t="s">
        <v>34</v>
      </c>
    </row>
    <row r="249" customFormat="false" ht="15" hidden="false" customHeight="false" outlineLevel="0" collapsed="false">
      <c r="A249" s="2" t="s">
        <v>319</v>
      </c>
      <c r="B249" s="5" t="n">
        <v>46224</v>
      </c>
      <c r="C249" s="2" t="s">
        <v>29</v>
      </c>
      <c r="D249" s="2" t="s">
        <v>30</v>
      </c>
      <c r="E249" s="2" t="s">
        <v>31</v>
      </c>
      <c r="F249" s="2" t="s">
        <v>50</v>
      </c>
      <c r="G249" s="2" t="s">
        <v>40</v>
      </c>
      <c r="H249" s="6" t="n">
        <v>2</v>
      </c>
      <c r="I249" s="7" t="n">
        <v>1450</v>
      </c>
      <c r="J249" s="8" t="n">
        <v>0.2</v>
      </c>
      <c r="K249" s="7" t="n">
        <v>1050</v>
      </c>
      <c r="L249" s="9" t="n">
        <f aca="false">H249*I249*(1-J249)</f>
        <v>2320</v>
      </c>
      <c r="M249" s="9" t="n">
        <f aca="false">L249-H249*K249</f>
        <v>220</v>
      </c>
      <c r="N249" s="2" t="s">
        <v>34</v>
      </c>
    </row>
    <row r="250" customFormat="false" ht="15" hidden="false" customHeight="false" outlineLevel="0" collapsed="false">
      <c r="A250" s="2" t="s">
        <v>320</v>
      </c>
      <c r="B250" s="5" t="n">
        <v>46226</v>
      </c>
      <c r="C250" s="2" t="s">
        <v>29</v>
      </c>
      <c r="D250" s="2" t="s">
        <v>30</v>
      </c>
      <c r="E250" s="2" t="s">
        <v>63</v>
      </c>
      <c r="F250" s="2" t="s">
        <v>50</v>
      </c>
      <c r="G250" s="2" t="s">
        <v>40</v>
      </c>
      <c r="H250" s="6" t="n">
        <v>8</v>
      </c>
      <c r="I250" s="7" t="n">
        <v>1450</v>
      </c>
      <c r="J250" s="8" t="n">
        <v>0</v>
      </c>
      <c r="K250" s="7" t="n">
        <v>1050</v>
      </c>
      <c r="L250" s="9" t="n">
        <f aca="false">H250*I250*(1-J250)</f>
        <v>11600</v>
      </c>
      <c r="M250" s="9" t="n">
        <f aca="false">L250-H250*K250</f>
        <v>3200</v>
      </c>
      <c r="N250" s="2" t="s">
        <v>34</v>
      </c>
    </row>
    <row r="251" customFormat="false" ht="15" hidden="false" customHeight="false" outlineLevel="0" collapsed="false">
      <c r="A251" s="2" t="s">
        <v>321</v>
      </c>
      <c r="B251" s="5" t="n">
        <v>46229</v>
      </c>
      <c r="C251" s="2" t="s">
        <v>36</v>
      </c>
      <c r="D251" s="2" t="s">
        <v>62</v>
      </c>
      <c r="E251" s="2" t="s">
        <v>106</v>
      </c>
      <c r="F251" s="2" t="s">
        <v>50</v>
      </c>
      <c r="G251" s="2" t="s">
        <v>40</v>
      </c>
      <c r="H251" s="6" t="n">
        <v>8</v>
      </c>
      <c r="I251" s="7" t="n">
        <v>1450</v>
      </c>
      <c r="J251" s="8" t="n">
        <v>0.15</v>
      </c>
      <c r="K251" s="7" t="n">
        <v>1050</v>
      </c>
      <c r="L251" s="9" t="n">
        <f aca="false">H251*I251*(1-J251)</f>
        <v>9860</v>
      </c>
      <c r="M251" s="9" t="n">
        <f aca="false">L251-H251*K251</f>
        <v>1460</v>
      </c>
      <c r="N251" s="2" t="s">
        <v>34</v>
      </c>
    </row>
    <row r="252" customFormat="false" ht="15" hidden="false" customHeight="false" outlineLevel="0" collapsed="false">
      <c r="A252" s="2" t="s">
        <v>322</v>
      </c>
      <c r="B252" s="5" t="n">
        <v>46229</v>
      </c>
      <c r="C252" s="2" t="s">
        <v>52</v>
      </c>
      <c r="D252" s="2" t="s">
        <v>53</v>
      </c>
      <c r="E252" s="2" t="s">
        <v>109</v>
      </c>
      <c r="F252" s="2" t="s">
        <v>85</v>
      </c>
      <c r="G252" s="2" t="s">
        <v>33</v>
      </c>
      <c r="H252" s="6" t="n">
        <v>3</v>
      </c>
      <c r="I252" s="7" t="n">
        <v>2400</v>
      </c>
      <c r="J252" s="8" t="n">
        <v>0.05</v>
      </c>
      <c r="K252" s="7" t="n">
        <v>900</v>
      </c>
      <c r="L252" s="9" t="n">
        <f aca="false">H252*I252*(1-J252)</f>
        <v>6840</v>
      </c>
      <c r="M252" s="9" t="n">
        <f aca="false">L252-H252*K252</f>
        <v>4140</v>
      </c>
      <c r="N252" s="2" t="s">
        <v>34</v>
      </c>
    </row>
    <row r="253" customFormat="false" ht="15" hidden="false" customHeight="false" outlineLevel="0" collapsed="false">
      <c r="A253" s="2" t="s">
        <v>323</v>
      </c>
      <c r="B253" s="5" t="n">
        <v>46234</v>
      </c>
      <c r="C253" s="2" t="s">
        <v>36</v>
      </c>
      <c r="D253" s="2" t="s">
        <v>62</v>
      </c>
      <c r="E253" s="2" t="s">
        <v>31</v>
      </c>
      <c r="F253" s="2" t="s">
        <v>98</v>
      </c>
      <c r="G253" s="2" t="s">
        <v>69</v>
      </c>
      <c r="H253" s="6" t="n">
        <v>8</v>
      </c>
      <c r="I253" s="7" t="n">
        <v>3500</v>
      </c>
      <c r="J253" s="8" t="n">
        <v>0.05</v>
      </c>
      <c r="K253" s="7" t="n">
        <v>1400</v>
      </c>
      <c r="L253" s="9" t="n">
        <f aca="false">H253*I253*(1-J253)</f>
        <v>26600</v>
      </c>
      <c r="M253" s="9" t="n">
        <f aca="false">L253-H253*K253</f>
        <v>15400</v>
      </c>
      <c r="N253" s="2" t="s">
        <v>34</v>
      </c>
    </row>
    <row r="254" customFormat="false" ht="15" hidden="false" customHeight="false" outlineLevel="0" collapsed="false">
      <c r="A254" s="2" t="s">
        <v>324</v>
      </c>
      <c r="B254" s="5" t="n">
        <v>46234</v>
      </c>
      <c r="C254" s="2" t="s">
        <v>43</v>
      </c>
      <c r="D254" s="2" t="s">
        <v>91</v>
      </c>
      <c r="E254" s="2" t="s">
        <v>106</v>
      </c>
      <c r="F254" s="2" t="s">
        <v>46</v>
      </c>
      <c r="G254" s="2" t="s">
        <v>40</v>
      </c>
      <c r="H254" s="6" t="n">
        <v>25</v>
      </c>
      <c r="I254" s="7" t="n">
        <v>320</v>
      </c>
      <c r="J254" s="8" t="n">
        <v>0</v>
      </c>
      <c r="K254" s="7" t="n">
        <v>240</v>
      </c>
      <c r="L254" s="9" t="n">
        <f aca="false">H254*I254*(1-J254)</f>
        <v>8000</v>
      </c>
      <c r="M254" s="9" t="n">
        <f aca="false">L254-H254*K254</f>
        <v>2000</v>
      </c>
      <c r="N254" s="2" t="s">
        <v>34</v>
      </c>
    </row>
    <row r="255" customFormat="false" ht="15" hidden="false" customHeight="false" outlineLevel="0" collapsed="false">
      <c r="A255" s="2" t="s">
        <v>325</v>
      </c>
      <c r="B255" s="5" t="n">
        <v>46236</v>
      </c>
      <c r="C255" s="2" t="s">
        <v>36</v>
      </c>
      <c r="D255" s="2" t="s">
        <v>37</v>
      </c>
      <c r="E255" s="2" t="s">
        <v>84</v>
      </c>
      <c r="F255" s="2" t="s">
        <v>46</v>
      </c>
      <c r="G255" s="2" t="s">
        <v>40</v>
      </c>
      <c r="H255" s="6" t="n">
        <v>2</v>
      </c>
      <c r="I255" s="7" t="n">
        <v>320</v>
      </c>
      <c r="J255" s="8" t="n">
        <v>0.05</v>
      </c>
      <c r="K255" s="7" t="n">
        <v>240</v>
      </c>
      <c r="L255" s="9" t="n">
        <f aca="false">H255*I255*(1-J255)</f>
        <v>608</v>
      </c>
      <c r="M255" s="9" t="n">
        <f aca="false">L255-H255*K255</f>
        <v>128</v>
      </c>
      <c r="N255" s="2" t="s">
        <v>34</v>
      </c>
    </row>
    <row r="256" customFormat="false" ht="15" hidden="false" customHeight="false" outlineLevel="0" collapsed="false">
      <c r="A256" s="2" t="s">
        <v>326</v>
      </c>
      <c r="B256" s="5" t="n">
        <v>46236</v>
      </c>
      <c r="C256" s="2" t="s">
        <v>43</v>
      </c>
      <c r="D256" s="2" t="s">
        <v>91</v>
      </c>
      <c r="E256" s="2" t="s">
        <v>106</v>
      </c>
      <c r="F256" s="2" t="s">
        <v>85</v>
      </c>
      <c r="G256" s="2" t="s">
        <v>33</v>
      </c>
      <c r="H256" s="6" t="n">
        <v>4</v>
      </c>
      <c r="I256" s="7" t="n">
        <v>2400</v>
      </c>
      <c r="J256" s="8" t="n">
        <v>0.05</v>
      </c>
      <c r="K256" s="7" t="n">
        <v>900</v>
      </c>
      <c r="L256" s="9" t="n">
        <f aca="false">H256*I256*(1-J256)</f>
        <v>9120</v>
      </c>
      <c r="M256" s="9" t="n">
        <f aca="false">L256-H256*K256</f>
        <v>5520</v>
      </c>
      <c r="N256" s="2" t="s">
        <v>64</v>
      </c>
    </row>
    <row r="257" customFormat="false" ht="15" hidden="false" customHeight="false" outlineLevel="0" collapsed="false">
      <c r="A257" s="2" t="s">
        <v>327</v>
      </c>
      <c r="B257" s="5" t="n">
        <v>46237</v>
      </c>
      <c r="C257" s="2" t="s">
        <v>52</v>
      </c>
      <c r="D257" s="2" t="s">
        <v>72</v>
      </c>
      <c r="E257" s="2" t="s">
        <v>82</v>
      </c>
      <c r="F257" s="2" t="s">
        <v>80</v>
      </c>
      <c r="G257" s="2" t="s">
        <v>40</v>
      </c>
      <c r="H257" s="6" t="n">
        <v>2</v>
      </c>
      <c r="I257" s="7" t="n">
        <v>9800</v>
      </c>
      <c r="J257" s="8" t="n">
        <v>0.1</v>
      </c>
      <c r="K257" s="7" t="n">
        <v>7200</v>
      </c>
      <c r="L257" s="9" t="n">
        <f aca="false">H257*I257*(1-J257)</f>
        <v>17640</v>
      </c>
      <c r="M257" s="9" t="n">
        <f aca="false">L257-H257*K257</f>
        <v>3240</v>
      </c>
      <c r="N257" s="2" t="s">
        <v>34</v>
      </c>
    </row>
    <row r="258" customFormat="false" ht="15" hidden="false" customHeight="false" outlineLevel="0" collapsed="false">
      <c r="A258" s="2" t="s">
        <v>328</v>
      </c>
      <c r="B258" s="5" t="n">
        <v>46237</v>
      </c>
      <c r="C258" s="2" t="s">
        <v>43</v>
      </c>
      <c r="D258" s="2" t="s">
        <v>91</v>
      </c>
      <c r="E258" s="2" t="s">
        <v>31</v>
      </c>
      <c r="F258" s="2" t="s">
        <v>50</v>
      </c>
      <c r="G258" s="2" t="s">
        <v>40</v>
      </c>
      <c r="H258" s="6" t="n">
        <v>3</v>
      </c>
      <c r="I258" s="7" t="n">
        <v>1450</v>
      </c>
      <c r="J258" s="8" t="n">
        <v>0.05</v>
      </c>
      <c r="K258" s="7" t="n">
        <v>1050</v>
      </c>
      <c r="L258" s="9" t="n">
        <f aca="false">H258*I258*(1-J258)</f>
        <v>4132.5</v>
      </c>
      <c r="M258" s="9" t="n">
        <f aca="false">L258-H258*K258</f>
        <v>982.5</v>
      </c>
      <c r="N258" s="2" t="s">
        <v>34</v>
      </c>
    </row>
    <row r="259" customFormat="false" ht="15" hidden="false" customHeight="false" outlineLevel="0" collapsed="false">
      <c r="A259" s="2" t="s">
        <v>329</v>
      </c>
      <c r="B259" s="5" t="n">
        <v>46237</v>
      </c>
      <c r="C259" s="2" t="s">
        <v>36</v>
      </c>
      <c r="D259" s="2" t="s">
        <v>62</v>
      </c>
      <c r="E259" s="2" t="s">
        <v>109</v>
      </c>
      <c r="F259" s="2" t="s">
        <v>46</v>
      </c>
      <c r="G259" s="2" t="s">
        <v>40</v>
      </c>
      <c r="H259" s="6" t="n">
        <v>1</v>
      </c>
      <c r="I259" s="7" t="n">
        <v>320</v>
      </c>
      <c r="J259" s="8" t="n">
        <v>0</v>
      </c>
      <c r="K259" s="7" t="n">
        <v>240</v>
      </c>
      <c r="L259" s="9" t="n">
        <f aca="false">H259*I259*(1-J259)</f>
        <v>320</v>
      </c>
      <c r="M259" s="9" t="n">
        <f aca="false">L259-H259*K259</f>
        <v>80</v>
      </c>
      <c r="N259" s="2" t="s">
        <v>34</v>
      </c>
    </row>
    <row r="260" customFormat="false" ht="15" hidden="false" customHeight="false" outlineLevel="0" collapsed="false">
      <c r="A260" s="2" t="s">
        <v>330</v>
      </c>
      <c r="B260" s="5" t="n">
        <v>46243</v>
      </c>
      <c r="C260" s="2" t="s">
        <v>52</v>
      </c>
      <c r="D260" s="2" t="s">
        <v>72</v>
      </c>
      <c r="E260" s="2" t="s">
        <v>38</v>
      </c>
      <c r="F260" s="2" t="s">
        <v>50</v>
      </c>
      <c r="G260" s="2" t="s">
        <v>40</v>
      </c>
      <c r="H260" s="6" t="n">
        <v>15</v>
      </c>
      <c r="I260" s="7" t="n">
        <v>1450</v>
      </c>
      <c r="J260" s="8" t="n">
        <v>0.05</v>
      </c>
      <c r="K260" s="7" t="n">
        <v>1050</v>
      </c>
      <c r="L260" s="9" t="n">
        <f aca="false">H260*I260*(1-J260)</f>
        <v>20662.5</v>
      </c>
      <c r="M260" s="9" t="n">
        <f aca="false">L260-H260*K260</f>
        <v>4912.5</v>
      </c>
      <c r="N260" s="2" t="s">
        <v>34</v>
      </c>
    </row>
    <row r="261" customFormat="false" ht="15" hidden="false" customHeight="false" outlineLevel="0" collapsed="false">
      <c r="A261" s="2" t="s">
        <v>331</v>
      </c>
      <c r="B261" s="5" t="n">
        <v>46243</v>
      </c>
      <c r="C261" s="2" t="s">
        <v>29</v>
      </c>
      <c r="D261" s="2" t="s">
        <v>48</v>
      </c>
      <c r="E261" s="2" t="s">
        <v>109</v>
      </c>
      <c r="F261" s="2" t="s">
        <v>50</v>
      </c>
      <c r="G261" s="2" t="s">
        <v>40</v>
      </c>
      <c r="H261" s="6" t="n">
        <v>25</v>
      </c>
      <c r="I261" s="7" t="n">
        <v>1450</v>
      </c>
      <c r="J261" s="8" t="n">
        <v>0.05</v>
      </c>
      <c r="K261" s="7" t="n">
        <v>1050</v>
      </c>
      <c r="L261" s="9" t="n">
        <f aca="false">H261*I261*(1-J261)</f>
        <v>34437.5</v>
      </c>
      <c r="M261" s="9" t="n">
        <f aca="false">L261-H261*K261</f>
        <v>8187.5</v>
      </c>
      <c r="N261" s="2" t="s">
        <v>34</v>
      </c>
    </row>
    <row r="262" customFormat="false" ht="15" hidden="false" customHeight="false" outlineLevel="0" collapsed="false">
      <c r="A262" s="2" t="s">
        <v>332</v>
      </c>
      <c r="B262" s="5" t="n">
        <v>46244</v>
      </c>
      <c r="C262" s="2" t="s">
        <v>29</v>
      </c>
      <c r="D262" s="2" t="s">
        <v>48</v>
      </c>
      <c r="E262" s="2" t="s">
        <v>54</v>
      </c>
      <c r="F262" s="2" t="s">
        <v>73</v>
      </c>
      <c r="G262" s="2" t="s">
        <v>33</v>
      </c>
      <c r="H262" s="6" t="n">
        <v>4</v>
      </c>
      <c r="I262" s="7" t="n">
        <v>6200</v>
      </c>
      <c r="J262" s="8" t="n">
        <v>0.2</v>
      </c>
      <c r="K262" s="7" t="n">
        <v>2600</v>
      </c>
      <c r="L262" s="9" t="n">
        <f aca="false">H262*I262*(1-J262)</f>
        <v>19840</v>
      </c>
      <c r="M262" s="9" t="n">
        <f aca="false">L262-H262*K262</f>
        <v>9440</v>
      </c>
      <c r="N262" s="2" t="s">
        <v>34</v>
      </c>
    </row>
    <row r="263" customFormat="false" ht="15" hidden="false" customHeight="false" outlineLevel="0" collapsed="false">
      <c r="A263" s="2" t="s">
        <v>333</v>
      </c>
      <c r="B263" s="5" t="n">
        <v>46244</v>
      </c>
      <c r="C263" s="2" t="s">
        <v>43</v>
      </c>
      <c r="D263" s="2" t="s">
        <v>91</v>
      </c>
      <c r="E263" s="2" t="s">
        <v>109</v>
      </c>
      <c r="F263" s="2" t="s">
        <v>73</v>
      </c>
      <c r="G263" s="2" t="s">
        <v>33</v>
      </c>
      <c r="H263" s="6" t="n">
        <v>3</v>
      </c>
      <c r="I263" s="7" t="n">
        <v>6200</v>
      </c>
      <c r="J263" s="8" t="n">
        <v>0.05</v>
      </c>
      <c r="K263" s="7" t="n">
        <v>2600</v>
      </c>
      <c r="L263" s="9" t="n">
        <f aca="false">H263*I263*(1-J263)</f>
        <v>17670</v>
      </c>
      <c r="M263" s="9" t="n">
        <f aca="false">L263-H263*K263</f>
        <v>9870</v>
      </c>
      <c r="N263" s="2" t="s">
        <v>34</v>
      </c>
    </row>
    <row r="264" customFormat="false" ht="15" hidden="false" customHeight="false" outlineLevel="0" collapsed="false">
      <c r="A264" s="2" t="s">
        <v>334</v>
      </c>
      <c r="B264" s="5" t="n">
        <v>46245</v>
      </c>
      <c r="C264" s="2" t="s">
        <v>36</v>
      </c>
      <c r="D264" s="2" t="s">
        <v>62</v>
      </c>
      <c r="E264" s="2" t="s">
        <v>63</v>
      </c>
      <c r="F264" s="2" t="s">
        <v>85</v>
      </c>
      <c r="G264" s="2" t="s">
        <v>33</v>
      </c>
      <c r="H264" s="6" t="n">
        <v>2</v>
      </c>
      <c r="I264" s="7" t="n">
        <v>2400</v>
      </c>
      <c r="J264" s="8" t="n">
        <v>0</v>
      </c>
      <c r="K264" s="7" t="n">
        <v>900</v>
      </c>
      <c r="L264" s="9" t="n">
        <f aca="false">H264*I264*(1-J264)</f>
        <v>4800</v>
      </c>
      <c r="M264" s="9" t="n">
        <f aca="false">L264-H264*K264</f>
        <v>3000</v>
      </c>
      <c r="N264" s="2" t="s">
        <v>34</v>
      </c>
    </row>
    <row r="265" customFormat="false" ht="15" hidden="false" customHeight="false" outlineLevel="0" collapsed="false">
      <c r="A265" s="2" t="s">
        <v>335</v>
      </c>
      <c r="B265" s="5" t="n">
        <v>46246</v>
      </c>
      <c r="C265" s="2" t="s">
        <v>36</v>
      </c>
      <c r="D265" s="2" t="s">
        <v>37</v>
      </c>
      <c r="E265" s="2" t="s">
        <v>45</v>
      </c>
      <c r="F265" s="2" t="s">
        <v>88</v>
      </c>
      <c r="G265" s="2" t="s">
        <v>69</v>
      </c>
      <c r="H265" s="6" t="n">
        <v>10</v>
      </c>
      <c r="I265" s="7" t="n">
        <v>1800</v>
      </c>
      <c r="J265" s="8" t="n">
        <v>0</v>
      </c>
      <c r="K265" s="7" t="n">
        <v>1000</v>
      </c>
      <c r="L265" s="9" t="n">
        <f aca="false">H265*I265*(1-J265)</f>
        <v>18000</v>
      </c>
      <c r="M265" s="9" t="n">
        <f aca="false">L265-H265*K265</f>
        <v>8000</v>
      </c>
      <c r="N265" s="2" t="s">
        <v>34</v>
      </c>
    </row>
    <row r="266" customFormat="false" ht="15" hidden="false" customHeight="false" outlineLevel="0" collapsed="false">
      <c r="A266" s="2" t="s">
        <v>336</v>
      </c>
      <c r="B266" s="5" t="n">
        <v>46246</v>
      </c>
      <c r="C266" s="2" t="s">
        <v>52</v>
      </c>
      <c r="D266" s="2" t="s">
        <v>72</v>
      </c>
      <c r="E266" s="2" t="s">
        <v>63</v>
      </c>
      <c r="F266" s="2" t="s">
        <v>50</v>
      </c>
      <c r="G266" s="2" t="s">
        <v>40</v>
      </c>
      <c r="H266" s="6" t="n">
        <v>8</v>
      </c>
      <c r="I266" s="7" t="n">
        <v>1450</v>
      </c>
      <c r="J266" s="8" t="n">
        <v>0</v>
      </c>
      <c r="K266" s="7" t="n">
        <v>1050</v>
      </c>
      <c r="L266" s="9" t="n">
        <f aca="false">H266*I266*(1-J266)</f>
        <v>11600</v>
      </c>
      <c r="M266" s="9" t="n">
        <f aca="false">L266-H266*K266</f>
        <v>3200</v>
      </c>
      <c r="N266" s="2" t="s">
        <v>34</v>
      </c>
    </row>
    <row r="267" customFormat="false" ht="15" hidden="false" customHeight="false" outlineLevel="0" collapsed="false">
      <c r="A267" s="2" t="s">
        <v>337</v>
      </c>
      <c r="B267" s="5" t="n">
        <v>46249</v>
      </c>
      <c r="C267" s="2" t="s">
        <v>52</v>
      </c>
      <c r="D267" s="2" t="s">
        <v>72</v>
      </c>
      <c r="E267" s="2" t="s">
        <v>120</v>
      </c>
      <c r="F267" s="2" t="s">
        <v>75</v>
      </c>
      <c r="G267" s="2" t="s">
        <v>33</v>
      </c>
      <c r="H267" s="6" t="n">
        <v>2</v>
      </c>
      <c r="I267" s="7" t="n">
        <v>12000</v>
      </c>
      <c r="J267" s="8" t="n">
        <v>0</v>
      </c>
      <c r="K267" s="7" t="n">
        <v>5000</v>
      </c>
      <c r="L267" s="9" t="n">
        <f aca="false">H267*I267*(1-J267)</f>
        <v>24000</v>
      </c>
      <c r="M267" s="9" t="n">
        <f aca="false">L267-H267*K267</f>
        <v>14000</v>
      </c>
      <c r="N267" s="2" t="s">
        <v>34</v>
      </c>
    </row>
    <row r="268" customFormat="false" ht="15" hidden="false" customHeight="false" outlineLevel="0" collapsed="false">
      <c r="A268" s="2" t="s">
        <v>338</v>
      </c>
      <c r="B268" s="5" t="n">
        <v>46251</v>
      </c>
      <c r="C268" s="2" t="s">
        <v>36</v>
      </c>
      <c r="D268" s="2" t="s">
        <v>62</v>
      </c>
      <c r="E268" s="2" t="s">
        <v>63</v>
      </c>
      <c r="F268" s="2" t="s">
        <v>75</v>
      </c>
      <c r="G268" s="2" t="s">
        <v>33</v>
      </c>
      <c r="H268" s="6" t="n">
        <v>3</v>
      </c>
      <c r="I268" s="7" t="n">
        <v>12000</v>
      </c>
      <c r="J268" s="8" t="n">
        <v>0.1</v>
      </c>
      <c r="K268" s="7" t="n">
        <v>5000</v>
      </c>
      <c r="L268" s="9" t="n">
        <f aca="false">H268*I268*(1-J268)</f>
        <v>32400</v>
      </c>
      <c r="M268" s="9" t="n">
        <f aca="false">L268-H268*K268</f>
        <v>17400</v>
      </c>
      <c r="N268" s="2" t="s">
        <v>34</v>
      </c>
    </row>
    <row r="269" customFormat="false" ht="15" hidden="false" customHeight="false" outlineLevel="0" collapsed="false">
      <c r="A269" s="2" t="s">
        <v>339</v>
      </c>
      <c r="B269" s="5" t="n">
        <v>46252</v>
      </c>
      <c r="C269" s="2" t="s">
        <v>43</v>
      </c>
      <c r="D269" s="2" t="s">
        <v>91</v>
      </c>
      <c r="E269" s="2" t="s">
        <v>109</v>
      </c>
      <c r="F269" s="2" t="s">
        <v>46</v>
      </c>
      <c r="G269" s="2" t="s">
        <v>40</v>
      </c>
      <c r="H269" s="6" t="n">
        <v>8</v>
      </c>
      <c r="I269" s="7" t="n">
        <v>320</v>
      </c>
      <c r="J269" s="8" t="n">
        <v>0.15</v>
      </c>
      <c r="K269" s="7" t="n">
        <v>240</v>
      </c>
      <c r="L269" s="9" t="n">
        <f aca="false">H269*I269*(1-J269)</f>
        <v>2176</v>
      </c>
      <c r="M269" s="9" t="n">
        <f aca="false">L269-H269*K269</f>
        <v>256</v>
      </c>
      <c r="N269" s="2" t="s">
        <v>34</v>
      </c>
    </row>
    <row r="270" customFormat="false" ht="15" hidden="false" customHeight="false" outlineLevel="0" collapsed="false">
      <c r="A270" s="2" t="s">
        <v>340</v>
      </c>
      <c r="B270" s="5" t="n">
        <v>46254</v>
      </c>
      <c r="C270" s="2" t="s">
        <v>36</v>
      </c>
      <c r="D270" s="2" t="s">
        <v>62</v>
      </c>
      <c r="E270" s="2" t="s">
        <v>82</v>
      </c>
      <c r="F270" s="2" t="s">
        <v>46</v>
      </c>
      <c r="G270" s="2" t="s">
        <v>40</v>
      </c>
      <c r="H270" s="6" t="n">
        <v>20</v>
      </c>
      <c r="I270" s="7" t="n">
        <v>320</v>
      </c>
      <c r="J270" s="8" t="n">
        <v>0.15</v>
      </c>
      <c r="K270" s="7" t="n">
        <v>240</v>
      </c>
      <c r="L270" s="9" t="n">
        <f aca="false">H270*I270*(1-J270)</f>
        <v>5440</v>
      </c>
      <c r="M270" s="9" t="n">
        <f aca="false">L270-H270*K270</f>
        <v>640</v>
      </c>
      <c r="N270" s="2" t="s">
        <v>34</v>
      </c>
    </row>
    <row r="271" customFormat="false" ht="15" hidden="false" customHeight="false" outlineLevel="0" collapsed="false">
      <c r="A271" s="2" t="s">
        <v>341</v>
      </c>
      <c r="B271" s="5" t="n">
        <v>46258</v>
      </c>
      <c r="C271" s="2" t="s">
        <v>29</v>
      </c>
      <c r="D271" s="2" t="s">
        <v>48</v>
      </c>
      <c r="E271" s="2" t="s">
        <v>106</v>
      </c>
      <c r="F271" s="2" t="s">
        <v>46</v>
      </c>
      <c r="G271" s="2" t="s">
        <v>40</v>
      </c>
      <c r="H271" s="6" t="n">
        <v>25</v>
      </c>
      <c r="I271" s="7" t="n">
        <v>320</v>
      </c>
      <c r="J271" s="8" t="n">
        <v>0</v>
      </c>
      <c r="K271" s="7" t="n">
        <v>240</v>
      </c>
      <c r="L271" s="9" t="n">
        <f aca="false">H271*I271*(1-J271)</f>
        <v>8000</v>
      </c>
      <c r="M271" s="9" t="n">
        <f aca="false">L271-H271*K271</f>
        <v>2000</v>
      </c>
      <c r="N271" s="2" t="s">
        <v>34</v>
      </c>
    </row>
    <row r="272" customFormat="false" ht="15" hidden="false" customHeight="false" outlineLevel="0" collapsed="false">
      <c r="A272" s="2" t="s">
        <v>342</v>
      </c>
      <c r="B272" s="5" t="n">
        <v>46258</v>
      </c>
      <c r="C272" s="2" t="s">
        <v>29</v>
      </c>
      <c r="D272" s="2" t="s">
        <v>30</v>
      </c>
      <c r="E272" s="2" t="s">
        <v>120</v>
      </c>
      <c r="F272" s="2" t="s">
        <v>50</v>
      </c>
      <c r="G272" s="2" t="s">
        <v>40</v>
      </c>
      <c r="H272" s="6" t="n">
        <v>10</v>
      </c>
      <c r="I272" s="7" t="n">
        <v>1450</v>
      </c>
      <c r="J272" s="8" t="n">
        <v>0.1</v>
      </c>
      <c r="K272" s="7" t="n">
        <v>1050</v>
      </c>
      <c r="L272" s="9" t="n">
        <f aca="false">H272*I272*(1-J272)</f>
        <v>13050</v>
      </c>
      <c r="M272" s="9" t="n">
        <f aca="false">L272-H272*K272</f>
        <v>2550</v>
      </c>
      <c r="N272" s="2" t="s">
        <v>34</v>
      </c>
    </row>
    <row r="273" customFormat="false" ht="15" hidden="false" customHeight="false" outlineLevel="0" collapsed="false">
      <c r="A273" s="2" t="s">
        <v>343</v>
      </c>
      <c r="B273" s="5" t="n">
        <v>46258</v>
      </c>
      <c r="C273" s="2" t="s">
        <v>52</v>
      </c>
      <c r="D273" s="2" t="s">
        <v>53</v>
      </c>
      <c r="E273" s="2" t="s">
        <v>66</v>
      </c>
      <c r="F273" s="2" t="s">
        <v>50</v>
      </c>
      <c r="G273" s="2" t="s">
        <v>40</v>
      </c>
      <c r="H273" s="6" t="n">
        <v>8</v>
      </c>
      <c r="I273" s="7" t="n">
        <v>1450</v>
      </c>
      <c r="J273" s="8" t="n">
        <v>0.15</v>
      </c>
      <c r="K273" s="7" t="n">
        <v>1050</v>
      </c>
      <c r="L273" s="9" t="n">
        <f aca="false">H273*I273*(1-J273)</f>
        <v>9860</v>
      </c>
      <c r="M273" s="9" t="n">
        <f aca="false">L273-H273*K273</f>
        <v>1460</v>
      </c>
      <c r="N273" s="2" t="s">
        <v>34</v>
      </c>
    </row>
    <row r="274" customFormat="false" ht="15" hidden="false" customHeight="false" outlineLevel="0" collapsed="false">
      <c r="A274" s="2" t="s">
        <v>344</v>
      </c>
      <c r="B274" s="5" t="n">
        <v>46259</v>
      </c>
      <c r="C274" s="2" t="s">
        <v>43</v>
      </c>
      <c r="D274" s="2" t="s">
        <v>91</v>
      </c>
      <c r="E274" s="2" t="s">
        <v>60</v>
      </c>
      <c r="F274" s="2" t="s">
        <v>88</v>
      </c>
      <c r="G274" s="2" t="s">
        <v>69</v>
      </c>
      <c r="H274" s="6" t="n">
        <v>20</v>
      </c>
      <c r="I274" s="7" t="n">
        <v>1800</v>
      </c>
      <c r="J274" s="8" t="n">
        <v>0</v>
      </c>
      <c r="K274" s="7" t="n">
        <v>1000</v>
      </c>
      <c r="L274" s="9" t="n">
        <f aca="false">H274*I274*(1-J274)</f>
        <v>36000</v>
      </c>
      <c r="M274" s="9" t="n">
        <f aca="false">L274-H274*K274</f>
        <v>16000</v>
      </c>
      <c r="N274" s="2" t="s">
        <v>34</v>
      </c>
    </row>
    <row r="275" customFormat="false" ht="15" hidden="false" customHeight="false" outlineLevel="0" collapsed="false">
      <c r="A275" s="2" t="s">
        <v>345</v>
      </c>
      <c r="B275" s="5" t="n">
        <v>46261</v>
      </c>
      <c r="C275" s="2" t="s">
        <v>29</v>
      </c>
      <c r="D275" s="2" t="s">
        <v>48</v>
      </c>
      <c r="E275" s="2" t="s">
        <v>54</v>
      </c>
      <c r="F275" s="2" t="s">
        <v>46</v>
      </c>
      <c r="G275" s="2" t="s">
        <v>40</v>
      </c>
      <c r="H275" s="6" t="n">
        <v>8</v>
      </c>
      <c r="I275" s="7" t="n">
        <v>320</v>
      </c>
      <c r="J275" s="8" t="n">
        <v>0.05</v>
      </c>
      <c r="K275" s="7" t="n">
        <v>240</v>
      </c>
      <c r="L275" s="9" t="n">
        <f aca="false">H275*I275*(1-J275)</f>
        <v>2432</v>
      </c>
      <c r="M275" s="9" t="n">
        <f aca="false">L275-H275*K275</f>
        <v>512</v>
      </c>
      <c r="N275" s="2" t="s">
        <v>34</v>
      </c>
    </row>
    <row r="276" customFormat="false" ht="15" hidden="false" customHeight="false" outlineLevel="0" collapsed="false">
      <c r="A276" s="2" t="s">
        <v>346</v>
      </c>
      <c r="B276" s="5" t="n">
        <v>46262</v>
      </c>
      <c r="C276" s="2" t="s">
        <v>52</v>
      </c>
      <c r="D276" s="2" t="s">
        <v>53</v>
      </c>
      <c r="E276" s="2" t="s">
        <v>57</v>
      </c>
      <c r="F276" s="2" t="s">
        <v>85</v>
      </c>
      <c r="G276" s="2" t="s">
        <v>33</v>
      </c>
      <c r="H276" s="6" t="n">
        <v>2</v>
      </c>
      <c r="I276" s="7" t="n">
        <v>2400</v>
      </c>
      <c r="J276" s="8" t="n">
        <v>0.05</v>
      </c>
      <c r="K276" s="7" t="n">
        <v>900</v>
      </c>
      <c r="L276" s="9" t="n">
        <f aca="false">H276*I276*(1-J276)</f>
        <v>4560</v>
      </c>
      <c r="M276" s="9" t="n">
        <f aca="false">L276-H276*K276</f>
        <v>2760</v>
      </c>
      <c r="N276" s="2" t="s">
        <v>34</v>
      </c>
    </row>
    <row r="277" customFormat="false" ht="15" hidden="false" customHeight="false" outlineLevel="0" collapsed="false">
      <c r="A277" s="2" t="s">
        <v>347</v>
      </c>
      <c r="B277" s="5" t="n">
        <v>46263</v>
      </c>
      <c r="C277" s="2" t="s">
        <v>43</v>
      </c>
      <c r="D277" s="2" t="s">
        <v>44</v>
      </c>
      <c r="E277" s="2" t="s">
        <v>63</v>
      </c>
      <c r="F277" s="2" t="s">
        <v>50</v>
      </c>
      <c r="G277" s="2" t="s">
        <v>40</v>
      </c>
      <c r="H277" s="6" t="n">
        <v>1</v>
      </c>
      <c r="I277" s="7" t="n">
        <v>1450</v>
      </c>
      <c r="J277" s="8" t="n">
        <v>0.1</v>
      </c>
      <c r="K277" s="7" t="n">
        <v>1050</v>
      </c>
      <c r="L277" s="9" t="n">
        <f aca="false">H277*I277*(1-J277)</f>
        <v>1305</v>
      </c>
      <c r="M277" s="9" t="n">
        <f aca="false">L277-H277*K277</f>
        <v>255</v>
      </c>
      <c r="N277" s="2" t="s">
        <v>34</v>
      </c>
    </row>
    <row r="278" customFormat="false" ht="15" hidden="false" customHeight="false" outlineLevel="0" collapsed="false">
      <c r="A278" s="2" t="s">
        <v>348</v>
      </c>
      <c r="B278" s="5" t="n">
        <v>46263</v>
      </c>
      <c r="C278" s="2" t="s">
        <v>43</v>
      </c>
      <c r="D278" s="2" t="s">
        <v>91</v>
      </c>
      <c r="E278" s="2" t="s">
        <v>38</v>
      </c>
      <c r="F278" s="2" t="s">
        <v>46</v>
      </c>
      <c r="G278" s="2" t="s">
        <v>40</v>
      </c>
      <c r="H278" s="6" t="n">
        <v>1</v>
      </c>
      <c r="I278" s="7" t="n">
        <v>320</v>
      </c>
      <c r="J278" s="8" t="n">
        <v>0.05</v>
      </c>
      <c r="K278" s="7" t="n">
        <v>240</v>
      </c>
      <c r="L278" s="9" t="n">
        <f aca="false">H278*I278*(1-J278)</f>
        <v>304</v>
      </c>
      <c r="M278" s="9" t="n">
        <f aca="false">L278-H278*K278</f>
        <v>64</v>
      </c>
      <c r="N278" s="2" t="s">
        <v>34</v>
      </c>
    </row>
    <row r="279" customFormat="false" ht="15" hidden="false" customHeight="false" outlineLevel="0" collapsed="false">
      <c r="A279" s="2" t="s">
        <v>349</v>
      </c>
      <c r="B279" s="5" t="n">
        <v>46266</v>
      </c>
      <c r="C279" s="2" t="s">
        <v>52</v>
      </c>
      <c r="D279" s="2" t="s">
        <v>72</v>
      </c>
      <c r="E279" s="2" t="s">
        <v>38</v>
      </c>
      <c r="F279" s="2" t="s">
        <v>46</v>
      </c>
      <c r="G279" s="2" t="s">
        <v>40</v>
      </c>
      <c r="H279" s="6" t="n">
        <v>8</v>
      </c>
      <c r="I279" s="7" t="n">
        <v>320</v>
      </c>
      <c r="J279" s="8" t="n">
        <v>0.05</v>
      </c>
      <c r="K279" s="7" t="n">
        <v>240</v>
      </c>
      <c r="L279" s="9" t="n">
        <f aca="false">H279*I279*(1-J279)</f>
        <v>2432</v>
      </c>
      <c r="M279" s="9" t="n">
        <f aca="false">L279-H279*K279</f>
        <v>512</v>
      </c>
      <c r="N279" s="2" t="s">
        <v>34</v>
      </c>
    </row>
    <row r="280" customFormat="false" ht="15" hidden="false" customHeight="false" outlineLevel="0" collapsed="false">
      <c r="A280" s="2" t="s">
        <v>350</v>
      </c>
      <c r="B280" s="5" t="n">
        <v>46267</v>
      </c>
      <c r="C280" s="2" t="s">
        <v>52</v>
      </c>
      <c r="D280" s="2" t="s">
        <v>53</v>
      </c>
      <c r="E280" s="2" t="s">
        <v>79</v>
      </c>
      <c r="F280" s="2" t="s">
        <v>32</v>
      </c>
      <c r="G280" s="2" t="s">
        <v>33</v>
      </c>
      <c r="H280" s="6" t="n">
        <v>4</v>
      </c>
      <c r="I280" s="7" t="n">
        <v>8500</v>
      </c>
      <c r="J280" s="8" t="n">
        <v>0.2</v>
      </c>
      <c r="K280" s="7" t="n">
        <v>3200</v>
      </c>
      <c r="L280" s="9" t="n">
        <f aca="false">H280*I280*(1-J280)</f>
        <v>27200</v>
      </c>
      <c r="M280" s="9" t="n">
        <f aca="false">L280-H280*K280</f>
        <v>14400</v>
      </c>
      <c r="N280" s="2" t="s">
        <v>34</v>
      </c>
    </row>
    <row r="281" customFormat="false" ht="15" hidden="false" customHeight="false" outlineLevel="0" collapsed="false">
      <c r="A281" s="2" t="s">
        <v>351</v>
      </c>
      <c r="B281" s="5" t="n">
        <v>46268</v>
      </c>
      <c r="C281" s="2" t="s">
        <v>52</v>
      </c>
      <c r="D281" s="2" t="s">
        <v>53</v>
      </c>
      <c r="E281" s="2" t="s">
        <v>109</v>
      </c>
      <c r="F281" s="2" t="s">
        <v>73</v>
      </c>
      <c r="G281" s="2" t="s">
        <v>33</v>
      </c>
      <c r="H281" s="6" t="n">
        <v>2</v>
      </c>
      <c r="I281" s="7" t="n">
        <v>6200</v>
      </c>
      <c r="J281" s="8" t="n">
        <v>0</v>
      </c>
      <c r="K281" s="7" t="n">
        <v>2600</v>
      </c>
      <c r="L281" s="9" t="n">
        <f aca="false">H281*I281*(1-J281)</f>
        <v>12400</v>
      </c>
      <c r="M281" s="9" t="n">
        <f aca="false">L281-H281*K281</f>
        <v>7200</v>
      </c>
      <c r="N281" s="2" t="s">
        <v>34</v>
      </c>
    </row>
    <row r="282" customFormat="false" ht="15" hidden="false" customHeight="false" outlineLevel="0" collapsed="false">
      <c r="A282" s="2" t="s">
        <v>352</v>
      </c>
      <c r="B282" s="5" t="n">
        <v>46269</v>
      </c>
      <c r="C282" s="2" t="s">
        <v>52</v>
      </c>
      <c r="D282" s="2" t="s">
        <v>72</v>
      </c>
      <c r="E282" s="2" t="s">
        <v>45</v>
      </c>
      <c r="F282" s="2" t="s">
        <v>32</v>
      </c>
      <c r="G282" s="2" t="s">
        <v>33</v>
      </c>
      <c r="H282" s="6" t="n">
        <v>1</v>
      </c>
      <c r="I282" s="7" t="n">
        <v>8500</v>
      </c>
      <c r="J282" s="8" t="n">
        <v>0.1</v>
      </c>
      <c r="K282" s="7" t="n">
        <v>3200</v>
      </c>
      <c r="L282" s="9" t="n">
        <f aca="false">H282*I282*(1-J282)</f>
        <v>7650</v>
      </c>
      <c r="M282" s="9" t="n">
        <f aca="false">L282-H282*K282</f>
        <v>4450</v>
      </c>
      <c r="N282" s="2" t="s">
        <v>34</v>
      </c>
    </row>
    <row r="283" customFormat="false" ht="15" hidden="false" customHeight="false" outlineLevel="0" collapsed="false">
      <c r="A283" s="2" t="s">
        <v>353</v>
      </c>
      <c r="B283" s="5" t="n">
        <v>46272</v>
      </c>
      <c r="C283" s="2" t="s">
        <v>29</v>
      </c>
      <c r="D283" s="2" t="s">
        <v>48</v>
      </c>
      <c r="E283" s="2" t="s">
        <v>84</v>
      </c>
      <c r="F283" s="2" t="s">
        <v>85</v>
      </c>
      <c r="G283" s="2" t="s">
        <v>33</v>
      </c>
      <c r="H283" s="6" t="n">
        <v>8</v>
      </c>
      <c r="I283" s="7" t="n">
        <v>2400</v>
      </c>
      <c r="J283" s="8" t="n">
        <v>0</v>
      </c>
      <c r="K283" s="7" t="n">
        <v>900</v>
      </c>
      <c r="L283" s="9" t="n">
        <f aca="false">H283*I283*(1-J283)</f>
        <v>19200</v>
      </c>
      <c r="M283" s="9" t="n">
        <f aca="false">L283-H283*K283</f>
        <v>12000</v>
      </c>
      <c r="N283" s="2" t="s">
        <v>34</v>
      </c>
    </row>
    <row r="284" customFormat="false" ht="15" hidden="false" customHeight="false" outlineLevel="0" collapsed="false">
      <c r="A284" s="2" t="s">
        <v>354</v>
      </c>
      <c r="B284" s="5" t="n">
        <v>46273</v>
      </c>
      <c r="C284" s="2" t="s">
        <v>43</v>
      </c>
      <c r="D284" s="2" t="s">
        <v>91</v>
      </c>
      <c r="E284" s="2" t="s">
        <v>109</v>
      </c>
      <c r="F284" s="2" t="s">
        <v>32</v>
      </c>
      <c r="G284" s="2" t="s">
        <v>33</v>
      </c>
      <c r="H284" s="6" t="n">
        <v>3</v>
      </c>
      <c r="I284" s="7" t="n">
        <v>8500</v>
      </c>
      <c r="J284" s="8" t="n">
        <v>0.05</v>
      </c>
      <c r="K284" s="7" t="n">
        <v>3200</v>
      </c>
      <c r="L284" s="9" t="n">
        <f aca="false">H284*I284*(1-J284)</f>
        <v>24225</v>
      </c>
      <c r="M284" s="9" t="n">
        <f aca="false">L284-H284*K284</f>
        <v>14625</v>
      </c>
      <c r="N284" s="2" t="s">
        <v>34</v>
      </c>
    </row>
    <row r="285" customFormat="false" ht="15" hidden="false" customHeight="false" outlineLevel="0" collapsed="false">
      <c r="A285" s="2" t="s">
        <v>355</v>
      </c>
      <c r="B285" s="5" t="n">
        <v>46275</v>
      </c>
      <c r="C285" s="2" t="s">
        <v>29</v>
      </c>
      <c r="D285" s="2" t="s">
        <v>30</v>
      </c>
      <c r="E285" s="2" t="s">
        <v>45</v>
      </c>
      <c r="F285" s="2" t="s">
        <v>85</v>
      </c>
      <c r="G285" s="2" t="s">
        <v>33</v>
      </c>
      <c r="H285" s="6" t="n">
        <v>2</v>
      </c>
      <c r="I285" s="7" t="n">
        <v>2400</v>
      </c>
      <c r="J285" s="8" t="n">
        <v>0.05</v>
      </c>
      <c r="K285" s="7" t="n">
        <v>900</v>
      </c>
      <c r="L285" s="9" t="n">
        <f aca="false">H285*I285*(1-J285)</f>
        <v>4560</v>
      </c>
      <c r="M285" s="9" t="n">
        <f aca="false">L285-H285*K285</f>
        <v>2760</v>
      </c>
      <c r="N285" s="2" t="s">
        <v>34</v>
      </c>
    </row>
    <row r="286" customFormat="false" ht="15" hidden="false" customHeight="false" outlineLevel="0" collapsed="false">
      <c r="A286" s="2" t="s">
        <v>356</v>
      </c>
      <c r="B286" s="5" t="n">
        <v>46278</v>
      </c>
      <c r="C286" s="2" t="s">
        <v>36</v>
      </c>
      <c r="D286" s="2" t="s">
        <v>37</v>
      </c>
      <c r="E286" s="2" t="s">
        <v>60</v>
      </c>
      <c r="F286" s="2" t="s">
        <v>98</v>
      </c>
      <c r="G286" s="2" t="s">
        <v>69</v>
      </c>
      <c r="H286" s="6" t="n">
        <v>5</v>
      </c>
      <c r="I286" s="7" t="n">
        <v>3500</v>
      </c>
      <c r="J286" s="8" t="n">
        <v>0.05</v>
      </c>
      <c r="K286" s="7" t="n">
        <v>1400</v>
      </c>
      <c r="L286" s="9" t="n">
        <f aca="false">H286*I286*(1-J286)</f>
        <v>16625</v>
      </c>
      <c r="M286" s="9" t="n">
        <f aca="false">L286-H286*K286</f>
        <v>9625</v>
      </c>
      <c r="N286" s="2" t="s">
        <v>34</v>
      </c>
    </row>
    <row r="287" customFormat="false" ht="15" hidden="false" customHeight="false" outlineLevel="0" collapsed="false">
      <c r="A287" s="2" t="s">
        <v>357</v>
      </c>
      <c r="B287" s="5" t="n">
        <v>46279</v>
      </c>
      <c r="C287" s="2" t="s">
        <v>36</v>
      </c>
      <c r="D287" s="2" t="s">
        <v>62</v>
      </c>
      <c r="E287" s="2" t="s">
        <v>57</v>
      </c>
      <c r="F287" s="2" t="s">
        <v>144</v>
      </c>
      <c r="G287" s="2" t="s">
        <v>40</v>
      </c>
      <c r="H287" s="6" t="n">
        <v>2</v>
      </c>
      <c r="I287" s="7" t="n">
        <v>450</v>
      </c>
      <c r="J287" s="8" t="n">
        <v>0.3</v>
      </c>
      <c r="K287" s="7" t="n">
        <v>410</v>
      </c>
      <c r="L287" s="9" t="n">
        <f aca="false">H287*I287*(1-J287)</f>
        <v>630</v>
      </c>
      <c r="M287" s="9" t="n">
        <f aca="false">L287-H287*K287</f>
        <v>-190</v>
      </c>
      <c r="N287" s="2" t="s">
        <v>34</v>
      </c>
    </row>
    <row r="288" customFormat="false" ht="15" hidden="false" customHeight="false" outlineLevel="0" collapsed="false">
      <c r="A288" s="2" t="s">
        <v>358</v>
      </c>
      <c r="B288" s="5" t="n">
        <v>46280</v>
      </c>
      <c r="C288" s="2" t="s">
        <v>52</v>
      </c>
      <c r="D288" s="2" t="s">
        <v>53</v>
      </c>
      <c r="E288" s="2" t="s">
        <v>38</v>
      </c>
      <c r="F288" s="2" t="s">
        <v>98</v>
      </c>
      <c r="G288" s="2" t="s">
        <v>69</v>
      </c>
      <c r="H288" s="6" t="n">
        <v>1</v>
      </c>
      <c r="I288" s="7" t="n">
        <v>3500</v>
      </c>
      <c r="J288" s="8" t="n">
        <v>0.15</v>
      </c>
      <c r="K288" s="7" t="n">
        <v>1400</v>
      </c>
      <c r="L288" s="9" t="n">
        <f aca="false">H288*I288*(1-J288)</f>
        <v>2975</v>
      </c>
      <c r="M288" s="9" t="n">
        <f aca="false">L288-H288*K288</f>
        <v>1575</v>
      </c>
      <c r="N288" s="2" t="s">
        <v>34</v>
      </c>
    </row>
    <row r="289" customFormat="false" ht="15" hidden="false" customHeight="false" outlineLevel="0" collapsed="false">
      <c r="A289" s="2" t="s">
        <v>359</v>
      </c>
      <c r="B289" s="5" t="n">
        <v>46283</v>
      </c>
      <c r="C289" s="2" t="s">
        <v>29</v>
      </c>
      <c r="D289" s="2" t="s">
        <v>30</v>
      </c>
      <c r="E289" s="2" t="s">
        <v>109</v>
      </c>
      <c r="F289" s="2" t="s">
        <v>46</v>
      </c>
      <c r="G289" s="2" t="s">
        <v>40</v>
      </c>
      <c r="H289" s="6" t="n">
        <v>15</v>
      </c>
      <c r="I289" s="7" t="n">
        <v>320</v>
      </c>
      <c r="J289" s="8" t="n">
        <v>0.1</v>
      </c>
      <c r="K289" s="7" t="n">
        <v>240</v>
      </c>
      <c r="L289" s="9" t="n">
        <f aca="false">H289*I289*(1-J289)</f>
        <v>4320</v>
      </c>
      <c r="M289" s="9" t="n">
        <f aca="false">L289-H289*K289</f>
        <v>720</v>
      </c>
      <c r="N289" s="2" t="s">
        <v>34</v>
      </c>
    </row>
    <row r="290" customFormat="false" ht="15" hidden="false" customHeight="false" outlineLevel="0" collapsed="false">
      <c r="A290" s="2" t="s">
        <v>360</v>
      </c>
      <c r="B290" s="5" t="n">
        <v>46284</v>
      </c>
      <c r="C290" s="2" t="s">
        <v>43</v>
      </c>
      <c r="D290" s="2" t="s">
        <v>44</v>
      </c>
      <c r="E290" s="2" t="s">
        <v>120</v>
      </c>
      <c r="F290" s="2" t="s">
        <v>46</v>
      </c>
      <c r="G290" s="2" t="s">
        <v>40</v>
      </c>
      <c r="H290" s="6" t="n">
        <v>20</v>
      </c>
      <c r="I290" s="7" t="n">
        <v>320</v>
      </c>
      <c r="J290" s="8" t="n">
        <v>0.1</v>
      </c>
      <c r="K290" s="7" t="n">
        <v>240</v>
      </c>
      <c r="L290" s="9" t="n">
        <f aca="false">H290*I290*(1-J290)</f>
        <v>5760</v>
      </c>
      <c r="M290" s="9" t="n">
        <f aca="false">L290-H290*K290</f>
        <v>960</v>
      </c>
      <c r="N290" s="2" t="s">
        <v>34</v>
      </c>
    </row>
    <row r="291" customFormat="false" ht="15" hidden="false" customHeight="false" outlineLevel="0" collapsed="false">
      <c r="A291" s="2" t="s">
        <v>361</v>
      </c>
      <c r="B291" s="5" t="n">
        <v>46286</v>
      </c>
      <c r="C291" s="2" t="s">
        <v>43</v>
      </c>
      <c r="D291" s="2" t="s">
        <v>91</v>
      </c>
      <c r="E291" s="2" t="s">
        <v>60</v>
      </c>
      <c r="F291" s="2" t="s">
        <v>46</v>
      </c>
      <c r="G291" s="2" t="s">
        <v>40</v>
      </c>
      <c r="H291" s="6" t="n">
        <v>2</v>
      </c>
      <c r="I291" s="7" t="n">
        <v>320</v>
      </c>
      <c r="J291" s="8" t="n">
        <v>0.05</v>
      </c>
      <c r="K291" s="7" t="n">
        <v>240</v>
      </c>
      <c r="L291" s="9" t="n">
        <f aca="false">H291*I291*(1-J291)</f>
        <v>608</v>
      </c>
      <c r="M291" s="9" t="n">
        <f aca="false">L291-H291*K291</f>
        <v>128</v>
      </c>
      <c r="N291" s="2" t="s">
        <v>34</v>
      </c>
    </row>
    <row r="292" customFormat="false" ht="15" hidden="false" customHeight="false" outlineLevel="0" collapsed="false">
      <c r="A292" s="2" t="s">
        <v>362</v>
      </c>
      <c r="B292" s="5" t="n">
        <v>46287</v>
      </c>
      <c r="C292" s="2" t="s">
        <v>36</v>
      </c>
      <c r="D292" s="2" t="s">
        <v>37</v>
      </c>
      <c r="E292" s="2" t="s">
        <v>106</v>
      </c>
      <c r="F292" s="2" t="s">
        <v>85</v>
      </c>
      <c r="G292" s="2" t="s">
        <v>33</v>
      </c>
      <c r="H292" s="6" t="n">
        <v>8</v>
      </c>
      <c r="I292" s="7" t="n">
        <v>2400</v>
      </c>
      <c r="J292" s="8" t="n">
        <v>0.05</v>
      </c>
      <c r="K292" s="7" t="n">
        <v>900</v>
      </c>
      <c r="L292" s="9" t="n">
        <f aca="false">H292*I292*(1-J292)</f>
        <v>18240</v>
      </c>
      <c r="M292" s="9" t="n">
        <f aca="false">L292-H292*K292</f>
        <v>11040</v>
      </c>
      <c r="N292" s="2" t="s">
        <v>34</v>
      </c>
    </row>
    <row r="293" customFormat="false" ht="15" hidden="false" customHeight="false" outlineLevel="0" collapsed="false">
      <c r="A293" s="2" t="s">
        <v>363</v>
      </c>
      <c r="B293" s="5" t="n">
        <v>46288</v>
      </c>
      <c r="C293" s="2" t="s">
        <v>29</v>
      </c>
      <c r="D293" s="2" t="s">
        <v>30</v>
      </c>
      <c r="E293" s="2" t="s">
        <v>82</v>
      </c>
      <c r="F293" s="2" t="s">
        <v>75</v>
      </c>
      <c r="G293" s="2" t="s">
        <v>33</v>
      </c>
      <c r="H293" s="6" t="n">
        <v>1</v>
      </c>
      <c r="I293" s="7" t="n">
        <v>12000</v>
      </c>
      <c r="J293" s="8" t="n">
        <v>0.1</v>
      </c>
      <c r="K293" s="7" t="n">
        <v>5000</v>
      </c>
      <c r="L293" s="9" t="n">
        <f aca="false">H293*I293*(1-J293)</f>
        <v>10800</v>
      </c>
      <c r="M293" s="9" t="n">
        <f aca="false">L293-H293*K293</f>
        <v>5800</v>
      </c>
      <c r="N293" s="2" t="s">
        <v>34</v>
      </c>
    </row>
    <row r="294" customFormat="false" ht="15" hidden="false" customHeight="false" outlineLevel="0" collapsed="false">
      <c r="A294" s="2" t="s">
        <v>364</v>
      </c>
      <c r="B294" s="5" t="n">
        <v>46288</v>
      </c>
      <c r="C294" s="2" t="s">
        <v>36</v>
      </c>
      <c r="D294" s="2" t="s">
        <v>62</v>
      </c>
      <c r="E294" s="2" t="s">
        <v>54</v>
      </c>
      <c r="F294" s="2" t="s">
        <v>85</v>
      </c>
      <c r="G294" s="2" t="s">
        <v>33</v>
      </c>
      <c r="H294" s="6" t="n">
        <v>3</v>
      </c>
      <c r="I294" s="7" t="n">
        <v>2400</v>
      </c>
      <c r="J294" s="8" t="n">
        <v>0.05</v>
      </c>
      <c r="K294" s="7" t="n">
        <v>900</v>
      </c>
      <c r="L294" s="9" t="n">
        <f aca="false">H294*I294*(1-J294)</f>
        <v>6840</v>
      </c>
      <c r="M294" s="9" t="n">
        <f aca="false">L294-H294*K294</f>
        <v>4140</v>
      </c>
      <c r="N294" s="2" t="s">
        <v>34</v>
      </c>
    </row>
    <row r="295" customFormat="false" ht="15" hidden="false" customHeight="false" outlineLevel="0" collapsed="false">
      <c r="A295" s="2" t="s">
        <v>365</v>
      </c>
      <c r="B295" s="5" t="n">
        <v>46289</v>
      </c>
      <c r="C295" s="2" t="s">
        <v>36</v>
      </c>
      <c r="D295" s="2" t="s">
        <v>37</v>
      </c>
      <c r="E295" s="2" t="s">
        <v>82</v>
      </c>
      <c r="F295" s="2" t="s">
        <v>46</v>
      </c>
      <c r="G295" s="2" t="s">
        <v>40</v>
      </c>
      <c r="H295" s="6" t="n">
        <v>2</v>
      </c>
      <c r="I295" s="7" t="n">
        <v>320</v>
      </c>
      <c r="J295" s="8" t="n">
        <v>0.15</v>
      </c>
      <c r="K295" s="7" t="n">
        <v>240</v>
      </c>
      <c r="L295" s="9" t="n">
        <f aca="false">H295*I295*(1-J295)</f>
        <v>544</v>
      </c>
      <c r="M295" s="9" t="n">
        <f aca="false">L295-H295*K295</f>
        <v>64</v>
      </c>
      <c r="N295" s="2" t="s">
        <v>34</v>
      </c>
    </row>
    <row r="296" customFormat="false" ht="15" hidden="false" customHeight="false" outlineLevel="0" collapsed="false">
      <c r="A296" s="2" t="s">
        <v>366</v>
      </c>
      <c r="B296" s="5" t="n">
        <v>46291</v>
      </c>
      <c r="C296" s="2" t="s">
        <v>43</v>
      </c>
      <c r="D296" s="2" t="s">
        <v>91</v>
      </c>
      <c r="E296" s="2" t="s">
        <v>38</v>
      </c>
      <c r="F296" s="2" t="s">
        <v>50</v>
      </c>
      <c r="G296" s="2" t="s">
        <v>40</v>
      </c>
      <c r="H296" s="6" t="n">
        <v>10</v>
      </c>
      <c r="I296" s="7" t="n">
        <v>1450</v>
      </c>
      <c r="J296" s="8" t="n">
        <v>0.1</v>
      </c>
      <c r="K296" s="7" t="n">
        <v>1050</v>
      </c>
      <c r="L296" s="9" t="n">
        <f aca="false">H296*I296*(1-J296)</f>
        <v>13050</v>
      </c>
      <c r="M296" s="9" t="n">
        <f aca="false">L296-H296*K296</f>
        <v>2550</v>
      </c>
      <c r="N296" s="2" t="s">
        <v>34</v>
      </c>
    </row>
    <row r="297" customFormat="false" ht="15" hidden="false" customHeight="false" outlineLevel="0" collapsed="false">
      <c r="A297" s="2" t="s">
        <v>367</v>
      </c>
      <c r="B297" s="5" t="n">
        <v>46291</v>
      </c>
      <c r="C297" s="2" t="s">
        <v>29</v>
      </c>
      <c r="D297" s="2" t="s">
        <v>30</v>
      </c>
      <c r="E297" s="2" t="s">
        <v>66</v>
      </c>
      <c r="F297" s="2" t="s">
        <v>50</v>
      </c>
      <c r="G297" s="2" t="s">
        <v>40</v>
      </c>
      <c r="H297" s="6" t="n">
        <v>5</v>
      </c>
      <c r="I297" s="7" t="n">
        <v>1450</v>
      </c>
      <c r="J297" s="8" t="n">
        <v>0.05</v>
      </c>
      <c r="K297" s="7" t="n">
        <v>1050</v>
      </c>
      <c r="L297" s="9" t="n">
        <f aca="false">H297*I297*(1-J297)</f>
        <v>6887.5</v>
      </c>
      <c r="M297" s="9" t="n">
        <f aca="false">L297-H297*K297</f>
        <v>1637.5</v>
      </c>
      <c r="N297" s="2" t="s">
        <v>34</v>
      </c>
    </row>
    <row r="298" customFormat="false" ht="15" hidden="false" customHeight="false" outlineLevel="0" collapsed="false">
      <c r="A298" s="2" t="s">
        <v>368</v>
      </c>
      <c r="B298" s="5" t="n">
        <v>46292</v>
      </c>
      <c r="C298" s="2" t="s">
        <v>43</v>
      </c>
      <c r="D298" s="2" t="s">
        <v>44</v>
      </c>
      <c r="E298" s="2" t="s">
        <v>79</v>
      </c>
      <c r="F298" s="2" t="s">
        <v>85</v>
      </c>
      <c r="G298" s="2" t="s">
        <v>33</v>
      </c>
      <c r="H298" s="6" t="n">
        <v>7</v>
      </c>
      <c r="I298" s="7" t="n">
        <v>2400</v>
      </c>
      <c r="J298" s="8" t="n">
        <v>0.15</v>
      </c>
      <c r="K298" s="7" t="n">
        <v>900</v>
      </c>
      <c r="L298" s="9" t="n">
        <f aca="false">H298*I298*(1-J298)</f>
        <v>14280</v>
      </c>
      <c r="M298" s="9" t="n">
        <f aca="false">L298-H298*K298</f>
        <v>7980</v>
      </c>
      <c r="N298" s="2" t="s">
        <v>34</v>
      </c>
    </row>
    <row r="299" customFormat="false" ht="15" hidden="false" customHeight="false" outlineLevel="0" collapsed="false">
      <c r="A299" s="2" t="s">
        <v>369</v>
      </c>
      <c r="B299" s="5" t="n">
        <v>46293</v>
      </c>
      <c r="C299" s="2" t="s">
        <v>52</v>
      </c>
      <c r="D299" s="2" t="s">
        <v>72</v>
      </c>
      <c r="E299" s="2" t="s">
        <v>82</v>
      </c>
      <c r="F299" s="2" t="s">
        <v>50</v>
      </c>
      <c r="G299" s="2" t="s">
        <v>40</v>
      </c>
      <c r="H299" s="6" t="n">
        <v>5</v>
      </c>
      <c r="I299" s="7" t="n">
        <v>1450</v>
      </c>
      <c r="J299" s="8" t="n">
        <v>0</v>
      </c>
      <c r="K299" s="7" t="n">
        <v>1050</v>
      </c>
      <c r="L299" s="9" t="n">
        <f aca="false">H299*I299*(1-J299)</f>
        <v>7250</v>
      </c>
      <c r="M299" s="9" t="n">
        <f aca="false">L299-H299*K299</f>
        <v>2000</v>
      </c>
      <c r="N299" s="2" t="s">
        <v>34</v>
      </c>
    </row>
    <row r="300" customFormat="false" ht="15" hidden="false" customHeight="false" outlineLevel="0" collapsed="false">
      <c r="A300" s="2" t="s">
        <v>370</v>
      </c>
      <c r="B300" s="5" t="n">
        <v>46293</v>
      </c>
      <c r="C300" s="2" t="s">
        <v>43</v>
      </c>
      <c r="D300" s="2" t="s">
        <v>44</v>
      </c>
      <c r="E300" s="2" t="s">
        <v>84</v>
      </c>
      <c r="F300" s="2" t="s">
        <v>32</v>
      </c>
      <c r="G300" s="2" t="s">
        <v>33</v>
      </c>
      <c r="H300" s="6" t="n">
        <v>2</v>
      </c>
      <c r="I300" s="7" t="n">
        <v>8500</v>
      </c>
      <c r="J300" s="8" t="n">
        <v>0</v>
      </c>
      <c r="K300" s="7" t="n">
        <v>3200</v>
      </c>
      <c r="L300" s="9" t="n">
        <f aca="false">H300*I300*(1-J300)</f>
        <v>17000</v>
      </c>
      <c r="M300" s="9" t="n">
        <f aca="false">L300-H300*K300</f>
        <v>10600</v>
      </c>
      <c r="N300" s="2" t="s">
        <v>34</v>
      </c>
    </row>
    <row r="301" customFormat="false" ht="15" hidden="false" customHeight="false" outlineLevel="0" collapsed="false">
      <c r="A301" s="2" t="s">
        <v>371</v>
      </c>
      <c r="B301" s="5" t="n">
        <v>46295</v>
      </c>
      <c r="C301" s="2" t="s">
        <v>43</v>
      </c>
      <c r="D301" s="2" t="s">
        <v>91</v>
      </c>
      <c r="E301" s="2" t="s">
        <v>38</v>
      </c>
      <c r="F301" s="2" t="s">
        <v>50</v>
      </c>
      <c r="G301" s="2" t="s">
        <v>40</v>
      </c>
      <c r="H301" s="6" t="n">
        <v>8</v>
      </c>
      <c r="I301" s="7" t="n">
        <v>1450</v>
      </c>
      <c r="J301" s="8" t="n">
        <v>0.2</v>
      </c>
      <c r="K301" s="7" t="n">
        <v>1050</v>
      </c>
      <c r="L301" s="9" t="n">
        <f aca="false">H301*I301*(1-J301)</f>
        <v>9280</v>
      </c>
      <c r="M301" s="9" t="n">
        <f aca="false">L301-H301*K301</f>
        <v>880</v>
      </c>
      <c r="N301" s="2" t="s">
        <v>34</v>
      </c>
    </row>
  </sheetData>
  <autoFilter ref="A1:N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7"/>
  </cols>
  <sheetData>
    <row r="1" customFormat="false" ht="17.35" hidden="false" customHeight="false" outlineLevel="0" collapsed="false">
      <c r="A1" s="1" t="s">
        <v>372</v>
      </c>
    </row>
    <row r="3" customFormat="false" ht="15" hidden="false" customHeight="false" outlineLevel="0" collapsed="false">
      <c r="A3" s="2" t="s">
        <v>373</v>
      </c>
      <c r="B3" s="10" t="n">
        <v>0.6</v>
      </c>
      <c r="C3" s="11" t="s">
        <v>374</v>
      </c>
    </row>
    <row r="4" customFormat="false" ht="15" hidden="false" customHeight="false" outlineLevel="0" collapsed="false">
      <c r="A4" s="2" t="s">
        <v>375</v>
      </c>
      <c r="B4" s="10" t="n">
        <v>0.15</v>
      </c>
    </row>
    <row r="6" customFormat="false" ht="30" hidden="false" customHeight="true" outlineLevel="0" collapsed="false">
      <c r="A6" s="4" t="s">
        <v>19</v>
      </c>
      <c r="B6" s="4" t="s">
        <v>20</v>
      </c>
      <c r="C6" s="4" t="s">
        <v>376</v>
      </c>
      <c r="D6" s="4" t="s">
        <v>377</v>
      </c>
      <c r="E6" s="4" t="s">
        <v>25</v>
      </c>
      <c r="F6" s="4" t="s">
        <v>26</v>
      </c>
      <c r="G6" s="4" t="s">
        <v>378</v>
      </c>
      <c r="H6" s="4" t="s">
        <v>379</v>
      </c>
      <c r="I6" s="4" t="s">
        <v>380</v>
      </c>
      <c r="J6" s="4" t="s">
        <v>381</v>
      </c>
    </row>
    <row r="7" customFormat="false" ht="15" hidden="false" customHeight="false" outlineLevel="0" collapsed="false">
      <c r="A7" s="2" t="s">
        <v>32</v>
      </c>
      <c r="B7" s="2" t="s">
        <v>33</v>
      </c>
      <c r="C7" s="2" t="n">
        <f aca="false">COUNTIFS(Sales_Data!$F$2:$F$301,A7)</f>
        <v>29</v>
      </c>
      <c r="D7" s="2" t="n">
        <f aca="false">SUMIFS(Sales_Data!$H$2:$H$301,Sales_Data!$F$2:$F$301,A7)</f>
        <v>76</v>
      </c>
      <c r="E7" s="9" t="n">
        <f aca="false">SUMIFS(Sales_Data!$L$2:$L$301,Sales_Data!$F$2:$F$301,A7)</f>
        <v>586925</v>
      </c>
      <c r="F7" s="9" t="n">
        <f aca="false">SUMIFS(Sales_Data!$M$2:$M$301,Sales_Data!$F$2:$F$301,A7)</f>
        <v>343725</v>
      </c>
      <c r="G7" s="12" t="n">
        <f aca="false">IF(E7=0,0,F7/E7)</f>
        <v>0.585637006431827</v>
      </c>
      <c r="H7" s="12" t="n">
        <f aca="false">IF(C7=0,0,COUNTIFS(Sales_Data!$F$2:$F$301,A7,Sales_Data!$N$2:$N$301,"Y")/C7)</f>
        <v>0</v>
      </c>
      <c r="I7" s="12" t="n">
        <f aca="false">E7/AVERAGE($E$7:$E$18)-1</f>
        <v>0.641778102259202</v>
      </c>
      <c r="J7" s="2" t="str">
        <f aca="false">IF(OR(E7&lt;$B$3*AVERAGE($E$7:$E$18),G7&lt;$B$4),"Underperforming","OK")</f>
        <v>OK</v>
      </c>
    </row>
    <row r="8" customFormat="false" ht="15" hidden="false" customHeight="false" outlineLevel="0" collapsed="false">
      <c r="A8" s="2" t="s">
        <v>68</v>
      </c>
      <c r="B8" s="2" t="s">
        <v>69</v>
      </c>
      <c r="C8" s="2" t="n">
        <f aca="false">COUNTIFS(Sales_Data!$F$2:$F$301,A8)</f>
        <v>5</v>
      </c>
      <c r="D8" s="2" t="n">
        <f aca="false">SUMIFS(Sales_Data!$H$2:$H$301,Sales_Data!$F$2:$F$301,A8)</f>
        <v>61</v>
      </c>
      <c r="E8" s="9" t="n">
        <f aca="false">SUMIFS(Sales_Data!$L$2:$L$301,Sales_Data!$F$2:$F$301,A8)</f>
        <v>26970</v>
      </c>
      <c r="F8" s="9" t="n">
        <f aca="false">SUMIFS(Sales_Data!$M$2:$M$301,Sales_Data!$F$2:$F$301,A8)</f>
        <v>-4750</v>
      </c>
      <c r="G8" s="12" t="n">
        <f aca="false">IF(E8=0,0,F8/E8)</f>
        <v>-0.176121616611049</v>
      </c>
      <c r="H8" s="12" t="n">
        <f aca="false">IF(C8=0,0,COUNTIFS(Sales_Data!$F$2:$F$301,A8,Sales_Data!$N$2:$N$301,"Y")/C8)</f>
        <v>0</v>
      </c>
      <c r="I8" s="12" t="n">
        <f aca="false">E8/AVERAGE($E$7:$E$18)-1</f>
        <v>-0.924558068887966</v>
      </c>
      <c r="J8" s="2" t="str">
        <f aca="false">IF(OR(E8&lt;$B$3*AVERAGE($E$7:$E$18),G8&lt;$B$4),"Underperforming","OK")</f>
        <v>Underperforming</v>
      </c>
    </row>
    <row r="9" customFormat="false" ht="15" hidden="false" customHeight="false" outlineLevel="0" collapsed="false">
      <c r="A9" s="2" t="s">
        <v>50</v>
      </c>
      <c r="B9" s="2" t="s">
        <v>40</v>
      </c>
      <c r="C9" s="2" t="n">
        <f aca="false">COUNTIFS(Sales_Data!$F$2:$F$301,A9)</f>
        <v>60</v>
      </c>
      <c r="D9" s="2" t="n">
        <f aca="false">SUMIFS(Sales_Data!$H$2:$H$301,Sales_Data!$F$2:$F$301,A9)</f>
        <v>638</v>
      </c>
      <c r="E9" s="9" t="n">
        <f aca="false">SUMIFS(Sales_Data!$L$2:$L$301,Sales_Data!$F$2:$F$301,A9)</f>
        <v>849192.5</v>
      </c>
      <c r="F9" s="9" t="n">
        <f aca="false">SUMIFS(Sales_Data!$M$2:$M$301,Sales_Data!$F$2:$F$301,A9)</f>
        <v>179292.5</v>
      </c>
      <c r="G9" s="12" t="n">
        <f aca="false">IF(E9=0,0,F9/E9)</f>
        <v>0.211132929223939</v>
      </c>
      <c r="H9" s="12" t="n">
        <f aca="false">IF(C9=0,0,COUNTIFS(Sales_Data!$F$2:$F$301,A9,Sales_Data!$N$2:$N$301,"Y")/C9)</f>
        <v>0.0166666666666667</v>
      </c>
      <c r="I9" s="12" t="n">
        <f aca="false">E9/AVERAGE($E$7:$E$18)-1</f>
        <v>1.37540682557865</v>
      </c>
      <c r="J9" s="2" t="str">
        <f aca="false">IF(OR(E9&lt;$B$3*AVERAGE($E$7:$E$18),G9&lt;$B$4),"Underperforming","OK")</f>
        <v>OK</v>
      </c>
    </row>
    <row r="10" customFormat="false" ht="15" hidden="false" customHeight="false" outlineLevel="0" collapsed="false">
      <c r="A10" s="2" t="s">
        <v>85</v>
      </c>
      <c r="B10" s="2" t="s">
        <v>33</v>
      </c>
      <c r="C10" s="2" t="n">
        <f aca="false">COUNTIFS(Sales_Data!$F$2:$F$301,A10)</f>
        <v>37</v>
      </c>
      <c r="D10" s="2" t="n">
        <f aca="false">SUMIFS(Sales_Data!$H$2:$H$301,Sales_Data!$F$2:$F$301,A10)</f>
        <v>162</v>
      </c>
      <c r="E10" s="9" t="n">
        <f aca="false">SUMIFS(Sales_Data!$L$2:$L$301,Sales_Data!$F$2:$F$301,A10)</f>
        <v>355560</v>
      </c>
      <c r="F10" s="9" t="n">
        <f aca="false">SUMIFS(Sales_Data!$M$2:$M$301,Sales_Data!$F$2:$F$301,A10)</f>
        <v>209760</v>
      </c>
      <c r="G10" s="12" t="n">
        <f aca="false">IF(E10=0,0,F10/E10)</f>
        <v>0.589942625717179</v>
      </c>
      <c r="H10" s="12" t="n">
        <f aca="false">IF(C10=0,0,COUNTIFS(Sales_Data!$F$2:$F$301,A10,Sales_Data!$N$2:$N$301,"Y")/C10)</f>
        <v>0.027027027027027</v>
      </c>
      <c r="I10" s="12" t="n">
        <f aca="false">E10/AVERAGE($E$7:$E$18)-1</f>
        <v>-0.00540848994457244</v>
      </c>
      <c r="J10" s="2" t="str">
        <f aca="false">IF(OR(E10&lt;$B$3*AVERAGE($E$7:$E$18),G10&lt;$B$4),"Underperforming","OK")</f>
        <v>OK</v>
      </c>
    </row>
    <row r="11" customFormat="false" ht="15" hidden="false" customHeight="false" outlineLevel="0" collapsed="false">
      <c r="A11" s="2" t="s">
        <v>73</v>
      </c>
      <c r="B11" s="2" t="s">
        <v>33</v>
      </c>
      <c r="C11" s="2" t="n">
        <f aca="false">COUNTIFS(Sales_Data!$F$2:$F$301,A11)</f>
        <v>25</v>
      </c>
      <c r="D11" s="2" t="n">
        <f aca="false">SUMIFS(Sales_Data!$H$2:$H$301,Sales_Data!$F$2:$F$301,A11)</f>
        <v>69</v>
      </c>
      <c r="E11" s="9" t="n">
        <f aca="false">SUMIFS(Sales_Data!$L$2:$L$301,Sales_Data!$F$2:$F$301,A11)</f>
        <v>387500</v>
      </c>
      <c r="F11" s="9" t="n">
        <f aca="false">SUMIFS(Sales_Data!$M$2:$M$301,Sales_Data!$F$2:$F$301,A11)</f>
        <v>208100</v>
      </c>
      <c r="G11" s="12" t="n">
        <f aca="false">IF(E11=0,0,F11/E11)</f>
        <v>0.537032258064516</v>
      </c>
      <c r="H11" s="12" t="n">
        <f aca="false">IF(C11=0,0,COUNTIFS(Sales_Data!$F$2:$F$301,A11,Sales_Data!$N$2:$N$301,"Y")/C11)</f>
        <v>0.04</v>
      </c>
      <c r="I11" s="12" t="n">
        <f aca="false">E11/AVERAGE($E$7:$E$18)-1</f>
        <v>0.083935791839572</v>
      </c>
      <c r="J11" s="2" t="str">
        <f aca="false">IF(OR(E11&lt;$B$3*AVERAGE($E$7:$E$18),G11&lt;$B$4),"Underperforming","OK")</f>
        <v>OK</v>
      </c>
    </row>
    <row r="12" customFormat="false" ht="15" hidden="false" customHeight="false" outlineLevel="0" collapsed="false">
      <c r="A12" s="2" t="s">
        <v>75</v>
      </c>
      <c r="B12" s="2" t="s">
        <v>33</v>
      </c>
      <c r="C12" s="2" t="n">
        <f aca="false">COUNTIFS(Sales_Data!$F$2:$F$301,A12)</f>
        <v>14</v>
      </c>
      <c r="D12" s="2" t="n">
        <f aca="false">SUMIFS(Sales_Data!$H$2:$H$301,Sales_Data!$F$2:$F$301,A12)</f>
        <v>43</v>
      </c>
      <c r="E12" s="9" t="n">
        <f aca="false">SUMIFS(Sales_Data!$L$2:$L$301,Sales_Data!$F$2:$F$301,A12)</f>
        <v>465000</v>
      </c>
      <c r="F12" s="9" t="n">
        <f aca="false">SUMIFS(Sales_Data!$M$2:$M$301,Sales_Data!$F$2:$F$301,A12)</f>
        <v>250000</v>
      </c>
      <c r="G12" s="12" t="n">
        <f aca="false">IF(E12=0,0,F12/E12)</f>
        <v>0.537634408602151</v>
      </c>
      <c r="H12" s="12" t="n">
        <f aca="false">IF(C12=0,0,COUNTIFS(Sales_Data!$F$2:$F$301,A12,Sales_Data!$N$2:$N$301,"Y")/C12)</f>
        <v>0.0714285714285714</v>
      </c>
      <c r="I12" s="12" t="n">
        <f aca="false">E12/AVERAGE($E$7:$E$18)-1</f>
        <v>0.300722950207486</v>
      </c>
      <c r="J12" s="2" t="str">
        <f aca="false">IF(OR(E12&lt;$B$3*AVERAGE($E$7:$E$18),G12&lt;$B$4),"Underperforming","OK")</f>
        <v>OK</v>
      </c>
    </row>
    <row r="13" customFormat="false" ht="15" hidden="false" customHeight="false" outlineLevel="0" collapsed="false">
      <c r="A13" s="2" t="s">
        <v>144</v>
      </c>
      <c r="B13" s="2" t="s">
        <v>40</v>
      </c>
      <c r="C13" s="2" t="n">
        <f aca="false">COUNTIFS(Sales_Data!$F$2:$F$301,A13)</f>
        <v>3</v>
      </c>
      <c r="D13" s="2" t="n">
        <f aca="false">SUMIFS(Sales_Data!$H$2:$H$301,Sales_Data!$F$2:$F$301,A13)</f>
        <v>22</v>
      </c>
      <c r="E13" s="9" t="n">
        <f aca="false">SUMIFS(Sales_Data!$L$2:$L$301,Sales_Data!$F$2:$F$301,A13)</f>
        <v>7942.5</v>
      </c>
      <c r="F13" s="9" t="n">
        <f aca="false">SUMIFS(Sales_Data!$M$2:$M$301,Sales_Data!$F$2:$F$301,A13)</f>
        <v>-1077.5</v>
      </c>
      <c r="G13" s="12" t="n">
        <f aca="false">IF(E13=0,0,F13/E13)</f>
        <v>-0.135662574756059</v>
      </c>
      <c r="H13" s="12" t="n">
        <f aca="false">IF(C13=0,0,COUNTIFS(Sales_Data!$F$2:$F$301,A13,Sales_Data!$N$2:$N$301,"Y")/C13)</f>
        <v>0</v>
      </c>
      <c r="I13" s="12" t="n">
        <f aca="false">E13/AVERAGE($E$7:$E$18)-1</f>
        <v>-0.977782812834359</v>
      </c>
      <c r="J13" s="2" t="str">
        <f aca="false">IF(OR(E13&lt;$B$3*AVERAGE($E$7:$E$18),G13&lt;$B$4),"Underperforming","OK")</f>
        <v>Underperforming</v>
      </c>
    </row>
    <row r="14" customFormat="false" ht="15" hidden="false" customHeight="false" outlineLevel="0" collapsed="false">
      <c r="A14" s="2" t="s">
        <v>88</v>
      </c>
      <c r="B14" s="2" t="s">
        <v>69</v>
      </c>
      <c r="C14" s="2" t="n">
        <f aca="false">COUNTIFS(Sales_Data!$F$2:$F$301,A14)</f>
        <v>24</v>
      </c>
      <c r="D14" s="2" t="n">
        <f aca="false">SUMIFS(Sales_Data!$H$2:$H$301,Sales_Data!$F$2:$F$301,A14)</f>
        <v>318</v>
      </c>
      <c r="E14" s="9" t="n">
        <f aca="false">SUMIFS(Sales_Data!$L$2:$L$301,Sales_Data!$F$2:$F$301,A14)</f>
        <v>532530</v>
      </c>
      <c r="F14" s="9" t="n">
        <f aca="false">SUMIFS(Sales_Data!$M$2:$M$301,Sales_Data!$F$2:$F$301,A14)</f>
        <v>214530</v>
      </c>
      <c r="G14" s="12" t="n">
        <f aca="false">IF(E14=0,0,F14/E14)</f>
        <v>0.402850543631345</v>
      </c>
      <c r="H14" s="12" t="n">
        <f aca="false">IF(C14=0,0,COUNTIFS(Sales_Data!$F$2:$F$301,A14,Sales_Data!$N$2:$N$301,"Y")/C14)</f>
        <v>0.0416666666666667</v>
      </c>
      <c r="I14" s="12" t="n">
        <f aca="false">E14/AVERAGE($E$7:$E$18)-1</f>
        <v>0.48962148962149</v>
      </c>
      <c r="J14" s="2" t="str">
        <f aca="false">IF(OR(E14&lt;$B$3*AVERAGE($E$7:$E$18),G14&lt;$B$4),"Underperforming","OK")</f>
        <v>OK</v>
      </c>
    </row>
    <row r="15" customFormat="false" ht="15" hidden="false" customHeight="false" outlineLevel="0" collapsed="false">
      <c r="A15" s="2" t="s">
        <v>98</v>
      </c>
      <c r="B15" s="2" t="s">
        <v>69</v>
      </c>
      <c r="C15" s="2" t="n">
        <f aca="false">COUNTIFS(Sales_Data!$F$2:$F$301,A15)</f>
        <v>16</v>
      </c>
      <c r="D15" s="2" t="n">
        <f aca="false">SUMIFS(Sales_Data!$H$2:$H$301,Sales_Data!$F$2:$F$301,A15)</f>
        <v>83</v>
      </c>
      <c r="E15" s="9" t="n">
        <f aca="false">SUMIFS(Sales_Data!$L$2:$L$301,Sales_Data!$F$2:$F$301,A15)</f>
        <v>268275</v>
      </c>
      <c r="F15" s="9" t="n">
        <f aca="false">SUMIFS(Sales_Data!$M$2:$M$301,Sales_Data!$F$2:$F$301,A15)</f>
        <v>152075</v>
      </c>
      <c r="G15" s="12" t="n">
        <f aca="false">IF(E15=0,0,F15/E15)</f>
        <v>0.566862361382909</v>
      </c>
      <c r="H15" s="12" t="n">
        <f aca="false">IF(C15=0,0,COUNTIFS(Sales_Data!$F$2:$F$301,A15,Sales_Data!$N$2:$N$301,"Y")/C15)</f>
        <v>0.125</v>
      </c>
      <c r="I15" s="12" t="n">
        <f aca="false">E15/AVERAGE($E$7:$E$18)-1</f>
        <v>-0.249566775339971</v>
      </c>
      <c r="J15" s="2" t="str">
        <f aca="false">IF(OR(E15&lt;$B$3*AVERAGE($E$7:$E$18),G15&lt;$B$4),"Underperforming","OK")</f>
        <v>OK</v>
      </c>
    </row>
    <row r="16" customFormat="false" ht="15" hidden="false" customHeight="false" outlineLevel="0" collapsed="false">
      <c r="A16" s="2" t="s">
        <v>80</v>
      </c>
      <c r="B16" s="2" t="s">
        <v>40</v>
      </c>
      <c r="C16" s="2" t="n">
        <f aca="false">COUNTIFS(Sales_Data!$F$2:$F$301,A16)</f>
        <v>21</v>
      </c>
      <c r="D16" s="2" t="n">
        <f aca="false">SUMIFS(Sales_Data!$H$2:$H$301,Sales_Data!$F$2:$F$301,A16)</f>
        <v>62</v>
      </c>
      <c r="E16" s="9" t="n">
        <f aca="false">SUMIFS(Sales_Data!$L$2:$L$301,Sales_Data!$F$2:$F$301,A16)</f>
        <v>570360</v>
      </c>
      <c r="F16" s="9" t="n">
        <f aca="false">SUMIFS(Sales_Data!$M$2:$M$301,Sales_Data!$F$2:$F$301,A16)</f>
        <v>123960</v>
      </c>
      <c r="G16" s="12" t="n">
        <f aca="false">IF(E16=0,0,F16/E16)</f>
        <v>0.217336419103724</v>
      </c>
      <c r="H16" s="12" t="n">
        <f aca="false">IF(C16=0,0,COUNTIFS(Sales_Data!$F$2:$F$301,A16,Sales_Data!$N$2:$N$301,"Y")/C16)</f>
        <v>0.0952380952380952</v>
      </c>
      <c r="I16" s="12" t="n">
        <f aca="false">E16/AVERAGE($E$7:$E$18)-1</f>
        <v>0.595441595441596</v>
      </c>
      <c r="J16" s="2" t="str">
        <f aca="false">IF(OR(E16&lt;$B$3*AVERAGE($E$7:$E$18),G16&lt;$B$4),"Underperforming","OK")</f>
        <v>OK</v>
      </c>
    </row>
    <row r="17" customFormat="false" ht="15" hidden="false" customHeight="false" outlineLevel="0" collapsed="false">
      <c r="A17" s="2" t="s">
        <v>39</v>
      </c>
      <c r="B17" s="2" t="s">
        <v>40</v>
      </c>
      <c r="C17" s="2" t="n">
        <f aca="false">COUNTIFS(Sales_Data!$F$2:$F$301,A17)</f>
        <v>5</v>
      </c>
      <c r="D17" s="2" t="n">
        <f aca="false">SUMIFS(Sales_Data!$H$2:$H$301,Sales_Data!$F$2:$F$301,A17)</f>
        <v>24</v>
      </c>
      <c r="E17" s="9" t="n">
        <f aca="false">SUMIFS(Sales_Data!$L$2:$L$301,Sales_Data!$F$2:$F$301,A17)</f>
        <v>33155</v>
      </c>
      <c r="F17" s="9" t="n">
        <f aca="false">SUMIFS(Sales_Data!$M$2:$M$301,Sales_Data!$F$2:$F$301,A17)</f>
        <v>-6445</v>
      </c>
      <c r="G17" s="12" t="n">
        <f aca="false">IF(E17=0,0,F17/E17)</f>
        <v>-0.194389986427387</v>
      </c>
      <c r="H17" s="12" t="n">
        <f aca="false">IF(C17=0,0,COUNTIFS(Sales_Data!$F$2:$F$301,A17,Sales_Data!$N$2:$N$301,"Y")/C17)</f>
        <v>0</v>
      </c>
      <c r="I17" s="12" t="n">
        <f aca="false">E17/AVERAGE($E$7:$E$18)-1</f>
        <v>-0.907257055023378</v>
      </c>
      <c r="J17" s="2" t="str">
        <f aca="false">IF(OR(E17&lt;$B$3*AVERAGE($E$7:$E$18),G17&lt;$B$4),"Underperforming","OK")</f>
        <v>Underperforming</v>
      </c>
    </row>
    <row r="18" customFormat="false" ht="15" hidden="false" customHeight="false" outlineLevel="0" collapsed="false">
      <c r="A18" s="2" t="s">
        <v>46</v>
      </c>
      <c r="B18" s="2" t="s">
        <v>40</v>
      </c>
      <c r="C18" s="2" t="n">
        <f aca="false">COUNTIFS(Sales_Data!$F$2:$F$301,A18)</f>
        <v>61</v>
      </c>
      <c r="D18" s="2" t="n">
        <f aca="false">SUMIFS(Sales_Data!$H$2:$H$301,Sales_Data!$F$2:$F$301,A18)</f>
        <v>706</v>
      </c>
      <c r="E18" s="9" t="n">
        <f aca="false">SUMIFS(Sales_Data!$L$2:$L$301,Sales_Data!$F$2:$F$301,A18)</f>
        <v>206512</v>
      </c>
      <c r="F18" s="9" t="n">
        <f aca="false">SUMIFS(Sales_Data!$M$2:$M$301,Sales_Data!$F$2:$F$301,A18)</f>
        <v>37072</v>
      </c>
      <c r="G18" s="12" t="n">
        <f aca="false">IF(E18=0,0,F18/E18)</f>
        <v>0.17951499186488</v>
      </c>
      <c r="H18" s="12" t="n">
        <f aca="false">IF(C18=0,0,COUNTIFS(Sales_Data!$F$2:$F$301,A18,Sales_Data!$N$2:$N$301,"Y")/C18)</f>
        <v>0.0163934426229508</v>
      </c>
      <c r="I18" s="12" t="n">
        <f aca="false">E18/AVERAGE($E$7:$E$18)-1</f>
        <v>-0.422333552917745</v>
      </c>
      <c r="J18" s="2" t="str">
        <f aca="false">IF(OR(E18&lt;$B$3*AVERAGE($E$7:$E$18),G18&lt;$B$4),"Underperforming","OK")</f>
        <v>Underperforming</v>
      </c>
    </row>
    <row r="19" customFormat="false" ht="15" hidden="false" customHeight="false" outlineLevel="0" collapsed="false">
      <c r="A19" s="3" t="s">
        <v>382</v>
      </c>
      <c r="B19" s="3"/>
      <c r="C19" s="3" t="n">
        <f aca="false">SUM(C7:C18)</f>
        <v>300</v>
      </c>
      <c r="D19" s="3" t="n">
        <f aca="false">SUM(D7:D18)</f>
        <v>2264</v>
      </c>
      <c r="E19" s="13" t="n">
        <f aca="false">SUM(E7:E18)</f>
        <v>4289922</v>
      </c>
      <c r="F19" s="13" t="n">
        <f aca="false">SUM(F7:F18)</f>
        <v>1706242</v>
      </c>
      <c r="G19" s="14" t="n">
        <f aca="false">F19/E19</f>
        <v>0.397732639427943</v>
      </c>
      <c r="H19" s="3"/>
      <c r="I19" s="3"/>
      <c r="J19" s="3"/>
    </row>
  </sheetData>
  <autoFilter ref="A6:J18"/>
  <conditionalFormatting sqref="J7:J18">
    <cfRule type="expression" priority="2" aboveAverage="0" equalAverage="0" bottom="0" percent="0" rank="0" text="" dxfId="6">
      <formula>J7="Underperforming"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1" min="10" style="0" width="14"/>
  </cols>
  <sheetData>
    <row r="1" customFormat="false" ht="17.35" hidden="false" customHeight="false" outlineLevel="0" collapsed="false">
      <c r="A1" s="1" t="s">
        <v>383</v>
      </c>
    </row>
    <row r="3" customFormat="false" ht="30" hidden="false" customHeight="true" outlineLevel="0" collapsed="false">
      <c r="A3" s="4" t="s">
        <v>384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21</v>
      </c>
      <c r="I3" s="4" t="s">
        <v>23</v>
      </c>
      <c r="J3" s="4" t="s">
        <v>25</v>
      </c>
      <c r="K3" s="4" t="s">
        <v>26</v>
      </c>
    </row>
    <row r="4" customFormat="false" ht="15" hidden="false" customHeight="false" outlineLevel="0" collapsed="false">
      <c r="A4" s="2" t="n">
        <v>1</v>
      </c>
      <c r="B4" s="2" t="s">
        <v>227</v>
      </c>
      <c r="C4" s="5" t="n">
        <f aca="false">INDEX(Sales_Data!$B$2:$B$301,MATCH($B4,Sales_Data!$A$2:$A$301,0))</f>
        <v>46117</v>
      </c>
      <c r="D4" s="2" t="str">
        <f aca="false">INDEX(Sales_Data!$C$2:$C$301,MATCH($B4,Sales_Data!$A$2:$A$301,0))</f>
        <v>South</v>
      </c>
      <c r="E4" s="2" t="str">
        <f aca="false">INDEX(Sales_Data!$D$2:$D$301,MATCH($B4,Sales_Data!$A$2:$A$301,0))</f>
        <v>Priya Nair</v>
      </c>
      <c r="F4" s="2" t="str">
        <f aca="false">INDEX(Sales_Data!$E$2:$E$301,MATCH($B4,Sales_Data!$A$2:$A$301,0))</f>
        <v>Juniper Foods</v>
      </c>
      <c r="G4" s="2" t="str">
        <f aca="false">INDEX(Sales_Data!$F$2:$F$301,MATCH($B4,Sales_Data!$A$2:$A$301,0))</f>
        <v>Enterprise CRM Suite</v>
      </c>
      <c r="H4" s="2" t="n">
        <f aca="false">INDEX(Sales_Data!$H$2:$H$301,MATCH($B4,Sales_Data!$A$2:$A$301,0))</f>
        <v>4</v>
      </c>
      <c r="I4" s="15" t="n">
        <f aca="false">INDEX(Sales_Data!$J$2:$J$301,MATCH($B4,Sales_Data!$A$2:$A$301,0))</f>
        <v>0</v>
      </c>
      <c r="J4" s="9" t="n">
        <f aca="false">INDEX(Sales_Data!$L$2:$L$301,MATCH($B4,Sales_Data!$A$2:$A$301,0))</f>
        <v>48000</v>
      </c>
      <c r="K4" s="9" t="n">
        <f aca="false">INDEX(Sales_Data!$M$2:$M$301,MATCH($B4,Sales_Data!$A$2:$A$301,0))</f>
        <v>28000</v>
      </c>
    </row>
    <row r="5" customFormat="false" ht="15" hidden="false" customHeight="false" outlineLevel="0" collapsed="false">
      <c r="A5" s="2" t="n">
        <v>2</v>
      </c>
      <c r="B5" s="2" t="s">
        <v>298</v>
      </c>
      <c r="C5" s="5" t="n">
        <f aca="false">INDEX(Sales_Data!$B$2:$B$301,MATCH($B5,Sales_Data!$A$2:$A$301,0))</f>
        <v>46191</v>
      </c>
      <c r="D5" s="2" t="str">
        <f aca="false">INDEX(Sales_Data!$C$2:$C$301,MATCH($B5,Sales_Data!$A$2:$A$301,0))</f>
        <v>North</v>
      </c>
      <c r="E5" s="2" t="str">
        <f aca="false">INDEX(Sales_Data!$D$2:$D$301,MATCH($B5,Sales_Data!$A$2:$A$301,0))</f>
        <v>Aisha Khan</v>
      </c>
      <c r="F5" s="2" t="str">
        <f aca="false">INDEX(Sales_Data!$E$2:$E$301,MATCH($B5,Sales_Data!$A$2:$A$301,0))</f>
        <v>BlueWave Ltd</v>
      </c>
      <c r="G5" s="2" t="str">
        <f aca="false">INDEX(Sales_Data!$F$2:$F$301,MATCH($B5,Sales_Data!$A$2:$A$301,0))</f>
        <v>Onboarding Package</v>
      </c>
      <c r="H5" s="2" t="n">
        <f aca="false">INDEX(Sales_Data!$H$2:$H$301,MATCH($B5,Sales_Data!$A$2:$A$301,0))</f>
        <v>25</v>
      </c>
      <c r="I5" s="15" t="n">
        <f aca="false">INDEX(Sales_Data!$J$2:$J$301,MATCH($B5,Sales_Data!$A$2:$A$301,0))</f>
        <v>0</v>
      </c>
      <c r="J5" s="9" t="n">
        <f aca="false">INDEX(Sales_Data!$L$2:$L$301,MATCH($B5,Sales_Data!$A$2:$A$301,0))</f>
        <v>45000</v>
      </c>
      <c r="K5" s="9" t="n">
        <f aca="false">INDEX(Sales_Data!$M$2:$M$301,MATCH($B5,Sales_Data!$A$2:$A$301,0))</f>
        <v>20000</v>
      </c>
    </row>
    <row r="6" customFormat="false" ht="15" hidden="false" customHeight="false" outlineLevel="0" collapsed="false">
      <c r="A6" s="2" t="n">
        <v>3</v>
      </c>
      <c r="B6" s="2" t="s">
        <v>275</v>
      </c>
      <c r="C6" s="5" t="n">
        <f aca="false">INDEX(Sales_Data!$B$2:$B$301,MATCH($B6,Sales_Data!$A$2:$A$301,0))</f>
        <v>46164</v>
      </c>
      <c r="D6" s="2" t="str">
        <f aca="false">INDEX(Sales_Data!$C$2:$C$301,MATCH($B6,Sales_Data!$A$2:$A$301,0))</f>
        <v>North</v>
      </c>
      <c r="E6" s="2" t="str">
        <f aca="false">INDEX(Sales_Data!$D$2:$D$301,MATCH($B6,Sales_Data!$A$2:$A$301,0))</f>
        <v>Aisha Khan</v>
      </c>
      <c r="F6" s="2" t="str">
        <f aca="false">INDEX(Sales_Data!$E$2:$E$301,MATCH($B6,Sales_Data!$A$2:$A$301,0))</f>
        <v>Lumen Telecom</v>
      </c>
      <c r="G6" s="2" t="str">
        <f aca="false">INDEX(Sales_Data!$F$2:$F$301,MATCH($B6,Sales_Data!$A$2:$A$301,0))</f>
        <v>Enterprise CRM Suite</v>
      </c>
      <c r="H6" s="2" t="n">
        <f aca="false">INDEX(Sales_Data!$H$2:$H$301,MATCH($B6,Sales_Data!$A$2:$A$301,0))</f>
        <v>4</v>
      </c>
      <c r="I6" s="15" t="n">
        <f aca="false">INDEX(Sales_Data!$J$2:$J$301,MATCH($B6,Sales_Data!$A$2:$A$301,0))</f>
        <v>0.1</v>
      </c>
      <c r="J6" s="9" t="n">
        <f aca="false">INDEX(Sales_Data!$L$2:$L$301,MATCH($B6,Sales_Data!$A$2:$A$301,0))</f>
        <v>43200</v>
      </c>
      <c r="K6" s="9" t="n">
        <f aca="false">INDEX(Sales_Data!$M$2:$M$301,MATCH($B6,Sales_Data!$A$2:$A$301,0))</f>
        <v>23200</v>
      </c>
    </row>
    <row r="7" customFormat="false" ht="15" hidden="false" customHeight="false" outlineLevel="0" collapsed="false">
      <c r="A7" s="2" t="n">
        <v>4</v>
      </c>
      <c r="B7" s="2" t="s">
        <v>190</v>
      </c>
      <c r="C7" s="5" t="n">
        <f aca="false">INDEX(Sales_Data!$B$2:$B$301,MATCH($B7,Sales_Data!$A$2:$A$301,0))</f>
        <v>46077</v>
      </c>
      <c r="D7" s="2" t="str">
        <f aca="false">INDEX(Sales_Data!$C$2:$C$301,MATCH($B7,Sales_Data!$A$2:$A$301,0))</f>
        <v>West</v>
      </c>
      <c r="E7" s="2" t="str">
        <f aca="false">INDEX(Sales_Data!$D$2:$D$301,MATCH($B7,Sales_Data!$A$2:$A$301,0))</f>
        <v>Sofia Rossi</v>
      </c>
      <c r="F7" s="2" t="str">
        <f aca="false">INDEX(Sales_Data!$E$2:$E$301,MATCH($B7,Sales_Data!$A$2:$A$301,0))</f>
        <v>Granite Bank</v>
      </c>
      <c r="G7" s="2" t="str">
        <f aca="false">INDEX(Sales_Data!$F$2:$F$301,MATCH($B7,Sales_Data!$A$2:$A$301,0))</f>
        <v>Enterprise CRM Suite</v>
      </c>
      <c r="H7" s="2" t="n">
        <f aca="false">INDEX(Sales_Data!$H$2:$H$301,MATCH($B7,Sales_Data!$A$2:$A$301,0))</f>
        <v>4</v>
      </c>
      <c r="I7" s="15" t="n">
        <f aca="false">INDEX(Sales_Data!$J$2:$J$301,MATCH($B7,Sales_Data!$A$2:$A$301,0))</f>
        <v>0.1</v>
      </c>
      <c r="J7" s="9" t="n">
        <f aca="false">INDEX(Sales_Data!$L$2:$L$301,MATCH($B7,Sales_Data!$A$2:$A$301,0))</f>
        <v>43200</v>
      </c>
      <c r="K7" s="9" t="n">
        <f aca="false">INDEX(Sales_Data!$M$2:$M$301,MATCH($B7,Sales_Data!$A$2:$A$301,0))</f>
        <v>23200</v>
      </c>
    </row>
    <row r="8" customFormat="false" ht="15" hidden="false" customHeight="false" outlineLevel="0" collapsed="false">
      <c r="A8" s="2" t="n">
        <v>5</v>
      </c>
      <c r="B8" s="2" t="s">
        <v>178</v>
      </c>
      <c r="C8" s="5" t="n">
        <f aca="false">INDEX(Sales_Data!$B$2:$B$301,MATCH($B8,Sales_Data!$A$2:$A$301,0))</f>
        <v>46059</v>
      </c>
      <c r="D8" s="2" t="str">
        <f aca="false">INDEX(Sales_Data!$C$2:$C$301,MATCH($B8,Sales_Data!$A$2:$A$301,0))</f>
        <v>North</v>
      </c>
      <c r="E8" s="2" t="str">
        <f aca="false">INDEX(Sales_Data!$D$2:$D$301,MATCH($B8,Sales_Data!$A$2:$A$301,0))</f>
        <v>Tom Becker</v>
      </c>
      <c r="F8" s="2" t="str">
        <f aca="false">INDEX(Sales_Data!$E$2:$E$301,MATCH($B8,Sales_Data!$A$2:$A$301,0))</f>
        <v>Cobalt Systems</v>
      </c>
      <c r="G8" s="2" t="str">
        <f aca="false">INDEX(Sales_Data!$F$2:$F$301,MATCH($B8,Sales_Data!$A$2:$A$301,0))</f>
        <v>Onboarding Package</v>
      </c>
      <c r="H8" s="2" t="n">
        <f aca="false">INDEX(Sales_Data!$H$2:$H$301,MATCH($B8,Sales_Data!$A$2:$A$301,0))</f>
        <v>25</v>
      </c>
      <c r="I8" s="15" t="n">
        <f aca="false">INDEX(Sales_Data!$J$2:$J$301,MATCH($B8,Sales_Data!$A$2:$A$301,0))</f>
        <v>0.05</v>
      </c>
      <c r="J8" s="9" t="n">
        <f aca="false">INDEX(Sales_Data!$L$2:$L$301,MATCH($B8,Sales_Data!$A$2:$A$301,0))</f>
        <v>42750</v>
      </c>
      <c r="K8" s="9" t="n">
        <f aca="false">INDEX(Sales_Data!$M$2:$M$301,MATCH($B8,Sales_Data!$A$2:$A$301,0))</f>
        <v>17750</v>
      </c>
    </row>
    <row r="9" customFormat="false" ht="15" hidden="false" customHeight="false" outlineLevel="0" collapsed="false">
      <c r="A9" s="2" t="n">
        <v>6</v>
      </c>
      <c r="B9" s="2" t="s">
        <v>152</v>
      </c>
      <c r="C9" s="5" t="n">
        <f aca="false">INDEX(Sales_Data!$B$2:$B$301,MATCH($B9,Sales_Data!$A$2:$A$301,0))</f>
        <v>46029</v>
      </c>
      <c r="D9" s="2" t="str">
        <f aca="false">INDEX(Sales_Data!$C$2:$C$301,MATCH($B9,Sales_Data!$A$2:$A$301,0))</f>
        <v>East</v>
      </c>
      <c r="E9" s="2" t="str">
        <f aca="false">INDEX(Sales_Data!$D$2:$D$301,MATCH($B9,Sales_Data!$A$2:$A$301,0))</f>
        <v>Marcus Hill</v>
      </c>
      <c r="F9" s="2" t="str">
        <f aca="false">INDEX(Sales_Data!$E$2:$E$301,MATCH($B9,Sales_Data!$A$2:$A$301,0))</f>
        <v>Cobalt Systems</v>
      </c>
      <c r="G9" s="2" t="str">
        <f aca="false">INDEX(Sales_Data!$F$2:$F$301,MATCH($B9,Sales_Data!$A$2:$A$301,0))</f>
        <v>Onboarding Package</v>
      </c>
      <c r="H9" s="2" t="n">
        <f aca="false">INDEX(Sales_Data!$H$2:$H$301,MATCH($B9,Sales_Data!$A$2:$A$301,0))</f>
        <v>25</v>
      </c>
      <c r="I9" s="15" t="n">
        <f aca="false">INDEX(Sales_Data!$J$2:$J$301,MATCH($B9,Sales_Data!$A$2:$A$301,0))</f>
        <v>0.05</v>
      </c>
      <c r="J9" s="9" t="n">
        <f aca="false">INDEX(Sales_Data!$L$2:$L$301,MATCH($B9,Sales_Data!$A$2:$A$301,0))</f>
        <v>42750</v>
      </c>
      <c r="K9" s="9" t="n">
        <f aca="false">INDEX(Sales_Data!$M$2:$M$301,MATCH($B9,Sales_Data!$A$2:$A$301,0))</f>
        <v>17750</v>
      </c>
    </row>
    <row r="10" customFormat="false" ht="15" hidden="false" customHeight="false" outlineLevel="0" collapsed="false">
      <c r="A10" s="2" t="n">
        <v>7</v>
      </c>
      <c r="B10" s="2" t="s">
        <v>195</v>
      </c>
      <c r="C10" s="5" t="n">
        <f aca="false">INDEX(Sales_Data!$B$2:$B$301,MATCH($B10,Sales_Data!$A$2:$A$301,0))</f>
        <v>46080</v>
      </c>
      <c r="D10" s="2" t="str">
        <f aca="false">INDEX(Sales_Data!$C$2:$C$301,MATCH($B10,Sales_Data!$A$2:$A$301,0))</f>
        <v>West</v>
      </c>
      <c r="E10" s="2" t="str">
        <f aca="false">INDEX(Sales_Data!$D$2:$D$301,MATCH($B10,Sales_Data!$A$2:$A$301,0))</f>
        <v>Daniel Cho</v>
      </c>
      <c r="F10" s="2" t="str">
        <f aca="false">INDEX(Sales_Data!$E$2:$E$301,MATCH($B10,Sales_Data!$A$2:$A$301,0))</f>
        <v>Lumen Telecom</v>
      </c>
      <c r="G10" s="2" t="str">
        <f aca="false">INDEX(Sales_Data!$F$2:$F$301,MATCH($B10,Sales_Data!$A$2:$A$301,0))</f>
        <v>Enterprise CRM Suite</v>
      </c>
      <c r="H10" s="2" t="n">
        <f aca="false">INDEX(Sales_Data!$H$2:$H$301,MATCH($B10,Sales_Data!$A$2:$A$301,0))</f>
        <v>4</v>
      </c>
      <c r="I10" s="15" t="n">
        <f aca="false">INDEX(Sales_Data!$J$2:$J$301,MATCH($B10,Sales_Data!$A$2:$A$301,0))</f>
        <v>0.15</v>
      </c>
      <c r="J10" s="9" t="n">
        <f aca="false">INDEX(Sales_Data!$L$2:$L$301,MATCH($B10,Sales_Data!$A$2:$A$301,0))</f>
        <v>40800</v>
      </c>
      <c r="K10" s="9" t="n">
        <f aca="false">INDEX(Sales_Data!$M$2:$M$301,MATCH($B10,Sales_Data!$A$2:$A$301,0))</f>
        <v>20800</v>
      </c>
    </row>
    <row r="11" customFormat="false" ht="15" hidden="false" customHeight="false" outlineLevel="0" collapsed="false">
      <c r="A11" s="2" t="n">
        <v>8</v>
      </c>
      <c r="B11" s="2" t="s">
        <v>293</v>
      </c>
      <c r="C11" s="5" t="n">
        <f aca="false">INDEX(Sales_Data!$B$2:$B$301,MATCH($B11,Sales_Data!$A$2:$A$301,0))</f>
        <v>46186</v>
      </c>
      <c r="D11" s="2" t="str">
        <f aca="false">INDEX(Sales_Data!$C$2:$C$301,MATCH($B11,Sales_Data!$A$2:$A$301,0))</f>
        <v>North</v>
      </c>
      <c r="E11" s="2" t="str">
        <f aca="false">INDEX(Sales_Data!$D$2:$D$301,MATCH($B11,Sales_Data!$A$2:$A$301,0))</f>
        <v>Aisha Khan</v>
      </c>
      <c r="F11" s="2" t="str">
        <f aca="false">INDEX(Sales_Data!$E$2:$E$301,MATCH($B11,Sales_Data!$A$2:$A$301,0))</f>
        <v>Keystone Edu</v>
      </c>
      <c r="G11" s="2" t="str">
        <f aca="false">INDEX(Sales_Data!$F$2:$F$301,MATCH($B11,Sales_Data!$A$2:$A$301,0))</f>
        <v>Server Rack X900</v>
      </c>
      <c r="H11" s="2" t="n">
        <f aca="false">INDEX(Sales_Data!$H$2:$H$301,MATCH($B11,Sales_Data!$A$2:$A$301,0))</f>
        <v>4</v>
      </c>
      <c r="I11" s="15" t="n">
        <f aca="false">INDEX(Sales_Data!$J$2:$J$301,MATCH($B11,Sales_Data!$A$2:$A$301,0))</f>
        <v>0</v>
      </c>
      <c r="J11" s="9" t="n">
        <f aca="false">INDEX(Sales_Data!$L$2:$L$301,MATCH($B11,Sales_Data!$A$2:$A$301,0))</f>
        <v>39200</v>
      </c>
      <c r="K11" s="9" t="n">
        <f aca="false">INDEX(Sales_Data!$M$2:$M$301,MATCH($B11,Sales_Data!$A$2:$A$301,0))</f>
        <v>10400</v>
      </c>
    </row>
    <row r="12" customFormat="false" ht="15" hidden="false" customHeight="false" outlineLevel="0" collapsed="false">
      <c r="A12" s="2" t="n">
        <v>9</v>
      </c>
      <c r="B12" s="2" t="s">
        <v>285</v>
      </c>
      <c r="C12" s="5" t="n">
        <f aca="false">INDEX(Sales_Data!$B$2:$B$301,MATCH($B12,Sales_Data!$A$2:$A$301,0))</f>
        <v>46173</v>
      </c>
      <c r="D12" s="2" t="str">
        <f aca="false">INDEX(Sales_Data!$C$2:$C$301,MATCH($B12,Sales_Data!$A$2:$A$301,0))</f>
        <v>East</v>
      </c>
      <c r="E12" s="2" t="str">
        <f aca="false">INDEX(Sales_Data!$D$2:$D$301,MATCH($B12,Sales_Data!$A$2:$A$301,0))</f>
        <v>Marcus Hill</v>
      </c>
      <c r="F12" s="2" t="str">
        <f aca="false">INDEX(Sales_Data!$E$2:$E$301,MATCH($B12,Sales_Data!$A$2:$A$301,0))</f>
        <v>Granite Bank</v>
      </c>
      <c r="G12" s="2" t="str">
        <f aca="false">INDEX(Sales_Data!$F$2:$F$301,MATCH($B12,Sales_Data!$A$2:$A$301,0))</f>
        <v>Server Rack X900</v>
      </c>
      <c r="H12" s="2" t="n">
        <f aca="false">INDEX(Sales_Data!$H$2:$H$301,MATCH($B12,Sales_Data!$A$2:$A$301,0))</f>
        <v>4</v>
      </c>
      <c r="I12" s="15" t="n">
        <f aca="false">INDEX(Sales_Data!$J$2:$J$301,MATCH($B12,Sales_Data!$A$2:$A$301,0))</f>
        <v>0</v>
      </c>
      <c r="J12" s="9" t="n">
        <f aca="false">INDEX(Sales_Data!$L$2:$L$301,MATCH($B12,Sales_Data!$A$2:$A$301,0))</f>
        <v>39200</v>
      </c>
      <c r="K12" s="9" t="n">
        <f aca="false">INDEX(Sales_Data!$M$2:$M$301,MATCH($B12,Sales_Data!$A$2:$A$301,0))</f>
        <v>10400</v>
      </c>
    </row>
    <row r="13" customFormat="false" ht="15" hidden="false" customHeight="false" outlineLevel="0" collapsed="false">
      <c r="A13" s="2" t="n">
        <v>10</v>
      </c>
      <c r="B13" s="2" t="s">
        <v>78</v>
      </c>
      <c r="C13" s="5" t="n">
        <f aca="false">INDEX(Sales_Data!$B$2:$B$301,MATCH($B13,Sales_Data!$A$2:$A$301,0))</f>
        <v>45961</v>
      </c>
      <c r="D13" s="2" t="str">
        <f aca="false">INDEX(Sales_Data!$C$2:$C$301,MATCH($B13,Sales_Data!$A$2:$A$301,0))</f>
        <v>West</v>
      </c>
      <c r="E13" s="2" t="str">
        <f aca="false">INDEX(Sales_Data!$D$2:$D$301,MATCH($B13,Sales_Data!$A$2:$A$301,0))</f>
        <v>Sofia Rossi</v>
      </c>
      <c r="F13" s="2" t="str">
        <f aca="false">INDEX(Sales_Data!$E$2:$E$301,MATCH($B13,Sales_Data!$A$2:$A$301,0))</f>
        <v>Granite Bank</v>
      </c>
      <c r="G13" s="2" t="str">
        <f aca="false">INDEX(Sales_Data!$F$2:$F$301,MATCH($B13,Sales_Data!$A$2:$A$301,0))</f>
        <v>Server Rack X900</v>
      </c>
      <c r="H13" s="2" t="n">
        <f aca="false">INDEX(Sales_Data!$H$2:$H$301,MATCH($B13,Sales_Data!$A$2:$A$301,0))</f>
        <v>4</v>
      </c>
      <c r="I13" s="15" t="n">
        <f aca="false">INDEX(Sales_Data!$J$2:$J$301,MATCH($B13,Sales_Data!$A$2:$A$301,0))</f>
        <v>0</v>
      </c>
      <c r="J13" s="9" t="n">
        <f aca="false">INDEX(Sales_Data!$L$2:$L$301,MATCH($B13,Sales_Data!$A$2:$A$301,0))</f>
        <v>39200</v>
      </c>
      <c r="K13" s="9" t="n">
        <f aca="false">INDEX(Sales_Data!$M$2:$M$301,MATCH($B13,Sales_Data!$A$2:$A$301,0))</f>
        <v>10400</v>
      </c>
    </row>
    <row r="14" customFormat="false" ht="15" hidden="false" customHeight="false" outlineLevel="0" collapsed="false">
      <c r="A14" s="2" t="n">
        <v>11</v>
      </c>
      <c r="B14" s="2" t="s">
        <v>300</v>
      </c>
      <c r="C14" s="5" t="n">
        <f aca="false">INDEX(Sales_Data!$B$2:$B$301,MATCH($B14,Sales_Data!$A$2:$A$301,0))</f>
        <v>46193</v>
      </c>
      <c r="D14" s="2" t="str">
        <f aca="false">INDEX(Sales_Data!$C$2:$C$301,MATCH($B14,Sales_Data!$A$2:$A$301,0))</f>
        <v>East</v>
      </c>
      <c r="E14" s="2" t="str">
        <f aca="false">INDEX(Sales_Data!$D$2:$D$301,MATCH($B14,Sales_Data!$A$2:$A$301,0))</f>
        <v>Marcus Hill</v>
      </c>
      <c r="F14" s="2" t="str">
        <f aca="false">INDEX(Sales_Data!$E$2:$E$301,MATCH($B14,Sales_Data!$A$2:$A$301,0))</f>
        <v>Ionic Energy</v>
      </c>
      <c r="G14" s="2" t="str">
        <f aca="false">INDEX(Sales_Data!$F$2:$F$301,MATCH($B14,Sales_Data!$A$2:$A$301,0))</f>
        <v>Enterprise CRM Suite</v>
      </c>
      <c r="H14" s="2" t="n">
        <f aca="false">INDEX(Sales_Data!$H$2:$H$301,MATCH($B14,Sales_Data!$A$2:$A$301,0))</f>
        <v>4</v>
      </c>
      <c r="I14" s="15" t="n">
        <f aca="false">INDEX(Sales_Data!$J$2:$J$301,MATCH($B14,Sales_Data!$A$2:$A$301,0))</f>
        <v>0.2</v>
      </c>
      <c r="J14" s="9" t="n">
        <f aca="false">INDEX(Sales_Data!$L$2:$L$301,MATCH($B14,Sales_Data!$A$2:$A$301,0))</f>
        <v>38400</v>
      </c>
      <c r="K14" s="9" t="n">
        <f aca="false">INDEX(Sales_Data!$M$2:$M$301,MATCH($B14,Sales_Data!$A$2:$A$301,0))</f>
        <v>18400</v>
      </c>
    </row>
    <row r="15" customFormat="false" ht="15" hidden="false" customHeight="false" outlineLevel="0" collapsed="false">
      <c r="A15" s="2" t="n">
        <v>12</v>
      </c>
      <c r="B15" s="2" t="s">
        <v>271</v>
      </c>
      <c r="C15" s="5" t="n">
        <f aca="false">INDEX(Sales_Data!$B$2:$B$301,MATCH($B15,Sales_Data!$A$2:$A$301,0))</f>
        <v>46161</v>
      </c>
      <c r="D15" s="2" t="str">
        <f aca="false">INDEX(Sales_Data!$C$2:$C$301,MATCH($B15,Sales_Data!$A$2:$A$301,0))</f>
        <v>North</v>
      </c>
      <c r="E15" s="2" t="str">
        <f aca="false">INDEX(Sales_Data!$D$2:$D$301,MATCH($B15,Sales_Data!$A$2:$A$301,0))</f>
        <v>Tom Becker</v>
      </c>
      <c r="F15" s="2" t="str">
        <f aca="false">INDEX(Sales_Data!$E$2:$E$301,MATCH($B15,Sales_Data!$A$2:$A$301,0))</f>
        <v>Lumen Telecom</v>
      </c>
      <c r="G15" s="2" t="str">
        <f aca="false">INDEX(Sales_Data!$F$2:$F$301,MATCH($B15,Sales_Data!$A$2:$A$301,0))</f>
        <v>Business Laptop L5</v>
      </c>
      <c r="H15" s="2" t="n">
        <f aca="false">INDEX(Sales_Data!$H$2:$H$301,MATCH($B15,Sales_Data!$A$2:$A$301,0))</f>
        <v>25</v>
      </c>
      <c r="I15" s="15" t="n">
        <f aca="false">INDEX(Sales_Data!$J$2:$J$301,MATCH($B15,Sales_Data!$A$2:$A$301,0))</f>
        <v>0</v>
      </c>
      <c r="J15" s="9" t="n">
        <f aca="false">INDEX(Sales_Data!$L$2:$L$301,MATCH($B15,Sales_Data!$A$2:$A$301,0))</f>
        <v>36250</v>
      </c>
      <c r="K15" s="9" t="n">
        <f aca="false">INDEX(Sales_Data!$M$2:$M$301,MATCH($B15,Sales_Data!$A$2:$A$301,0))</f>
        <v>10000</v>
      </c>
    </row>
    <row r="16" customFormat="false" ht="15" hidden="false" customHeight="false" outlineLevel="0" collapsed="false">
      <c r="A16" s="2" t="n">
        <v>13</v>
      </c>
      <c r="B16" s="2" t="s">
        <v>56</v>
      </c>
      <c r="C16" s="5" t="n">
        <f aca="false">INDEX(Sales_Data!$B$2:$B$301,MATCH($B16,Sales_Data!$A$2:$A$301,0))</f>
        <v>45945</v>
      </c>
      <c r="D16" s="2" t="str">
        <f aca="false">INDEX(Sales_Data!$C$2:$C$301,MATCH($B16,Sales_Data!$A$2:$A$301,0))</f>
        <v>East</v>
      </c>
      <c r="E16" s="2" t="str">
        <f aca="false">INDEX(Sales_Data!$D$2:$D$301,MATCH($B16,Sales_Data!$A$2:$A$301,0))</f>
        <v>Marcus Hill</v>
      </c>
      <c r="F16" s="2" t="str">
        <f aca="false">INDEX(Sales_Data!$E$2:$E$301,MATCH($B16,Sales_Data!$A$2:$A$301,0))</f>
        <v>Orion Travel</v>
      </c>
      <c r="G16" s="2" t="str">
        <f aca="false">INDEX(Sales_Data!$F$2:$F$301,MATCH($B16,Sales_Data!$A$2:$A$301,0))</f>
        <v>Business Laptop L5</v>
      </c>
      <c r="H16" s="2" t="n">
        <f aca="false">INDEX(Sales_Data!$H$2:$H$301,MATCH($B16,Sales_Data!$A$2:$A$301,0))</f>
        <v>25</v>
      </c>
      <c r="I16" s="15" t="n">
        <f aca="false">INDEX(Sales_Data!$J$2:$J$301,MATCH($B16,Sales_Data!$A$2:$A$301,0))</f>
        <v>0</v>
      </c>
      <c r="J16" s="9" t="n">
        <f aca="false">INDEX(Sales_Data!$L$2:$L$301,MATCH($B16,Sales_Data!$A$2:$A$301,0))</f>
        <v>36250</v>
      </c>
      <c r="K16" s="9" t="n">
        <f aca="false">INDEX(Sales_Data!$M$2:$M$301,MATCH($B16,Sales_Data!$A$2:$A$301,0))</f>
        <v>10000</v>
      </c>
    </row>
    <row r="17" customFormat="false" ht="15" hidden="false" customHeight="false" outlineLevel="0" collapsed="false">
      <c r="A17" s="2" t="n">
        <v>14</v>
      </c>
      <c r="B17" s="2" t="s">
        <v>344</v>
      </c>
      <c r="C17" s="5" t="n">
        <f aca="false">INDEX(Sales_Data!$B$2:$B$301,MATCH($B17,Sales_Data!$A$2:$A$301,0))</f>
        <v>46259</v>
      </c>
      <c r="D17" s="2" t="str">
        <f aca="false">INDEX(Sales_Data!$C$2:$C$301,MATCH($B17,Sales_Data!$A$2:$A$301,0))</f>
        <v>South</v>
      </c>
      <c r="E17" s="2" t="str">
        <f aca="false">INDEX(Sales_Data!$D$2:$D$301,MATCH($B17,Sales_Data!$A$2:$A$301,0))</f>
        <v>Luis Ortega</v>
      </c>
      <c r="F17" s="2" t="str">
        <f aca="false">INDEX(Sales_Data!$E$2:$E$301,MATCH($B17,Sales_Data!$A$2:$A$301,0))</f>
        <v>Apex Corp</v>
      </c>
      <c r="G17" s="2" t="str">
        <f aca="false">INDEX(Sales_Data!$F$2:$F$301,MATCH($B17,Sales_Data!$A$2:$A$301,0))</f>
        <v>Onboarding Package</v>
      </c>
      <c r="H17" s="2" t="n">
        <f aca="false">INDEX(Sales_Data!$H$2:$H$301,MATCH($B17,Sales_Data!$A$2:$A$301,0))</f>
        <v>20</v>
      </c>
      <c r="I17" s="15" t="n">
        <f aca="false">INDEX(Sales_Data!$J$2:$J$301,MATCH($B17,Sales_Data!$A$2:$A$301,0))</f>
        <v>0</v>
      </c>
      <c r="J17" s="9" t="n">
        <f aca="false">INDEX(Sales_Data!$L$2:$L$301,MATCH($B17,Sales_Data!$A$2:$A$301,0))</f>
        <v>36000</v>
      </c>
      <c r="K17" s="9" t="n">
        <f aca="false">INDEX(Sales_Data!$M$2:$M$301,MATCH($B17,Sales_Data!$A$2:$A$301,0))</f>
        <v>16000</v>
      </c>
    </row>
    <row r="18" customFormat="false" ht="15" hidden="false" customHeight="false" outlineLevel="0" collapsed="false">
      <c r="A18" s="2" t="n">
        <v>15</v>
      </c>
      <c r="B18" s="2" t="s">
        <v>241</v>
      </c>
      <c r="C18" s="5" t="n">
        <f aca="false">INDEX(Sales_Data!$B$2:$B$301,MATCH($B18,Sales_Data!$A$2:$A$301,0))</f>
        <v>46136</v>
      </c>
      <c r="D18" s="2" t="str">
        <f aca="false">INDEX(Sales_Data!$C$2:$C$301,MATCH($B18,Sales_Data!$A$2:$A$301,0))</f>
        <v>North</v>
      </c>
      <c r="E18" s="2" t="str">
        <f aca="false">INDEX(Sales_Data!$D$2:$D$301,MATCH($B18,Sales_Data!$A$2:$A$301,0))</f>
        <v>Aisha Khan</v>
      </c>
      <c r="F18" s="2" t="str">
        <f aca="false">INDEX(Sales_Data!$E$2:$E$301,MATCH($B18,Sales_Data!$A$2:$A$301,0))</f>
        <v>Cobalt Systems</v>
      </c>
      <c r="G18" s="2" t="str">
        <f aca="false">INDEX(Sales_Data!$F$2:$F$301,MATCH($B18,Sales_Data!$A$2:$A$301,0))</f>
        <v>Onboarding Package</v>
      </c>
      <c r="H18" s="2" t="n">
        <f aca="false">INDEX(Sales_Data!$H$2:$H$301,MATCH($B18,Sales_Data!$A$2:$A$301,0))</f>
        <v>20</v>
      </c>
      <c r="I18" s="15" t="n">
        <f aca="false">INDEX(Sales_Data!$J$2:$J$301,MATCH($B18,Sales_Data!$A$2:$A$301,0))</f>
        <v>0</v>
      </c>
      <c r="J18" s="9" t="n">
        <f aca="false">INDEX(Sales_Data!$L$2:$L$301,MATCH($B18,Sales_Data!$A$2:$A$301,0))</f>
        <v>36000</v>
      </c>
      <c r="K18" s="9" t="n">
        <f aca="false">INDEX(Sales_Data!$M$2:$M$301,MATCH($B18,Sales_Data!$A$2:$A$301,0))</f>
        <v>16000</v>
      </c>
    </row>
  </sheetData>
  <autoFilter ref="A3:K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1" min="10" style="0" width="14"/>
  </cols>
  <sheetData>
    <row r="1" customFormat="false" ht="17.35" hidden="false" customHeight="false" outlineLevel="0" collapsed="false">
      <c r="A1" s="1" t="s">
        <v>385</v>
      </c>
    </row>
    <row r="3" customFormat="false" ht="30" hidden="false" customHeight="true" outlineLevel="0" collapsed="false">
      <c r="A3" s="4" t="s">
        <v>384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21</v>
      </c>
      <c r="I3" s="4" t="s">
        <v>23</v>
      </c>
      <c r="J3" s="4" t="s">
        <v>25</v>
      </c>
      <c r="K3" s="4" t="s">
        <v>26</v>
      </c>
    </row>
    <row r="4" customFormat="false" ht="15" hidden="false" customHeight="false" outlineLevel="0" collapsed="false">
      <c r="A4" s="2" t="n">
        <v>1</v>
      </c>
      <c r="B4" s="2" t="s">
        <v>227</v>
      </c>
      <c r="C4" s="5" t="n">
        <f aca="false">INDEX(Sales_Data!$B$2:$B$301,MATCH($B4,Sales_Data!$A$2:$A$301,0))</f>
        <v>46117</v>
      </c>
      <c r="D4" s="2" t="str">
        <f aca="false">INDEX(Sales_Data!$C$2:$C$301,MATCH($B4,Sales_Data!$A$2:$A$301,0))</f>
        <v>South</v>
      </c>
      <c r="E4" s="2" t="str">
        <f aca="false">INDEX(Sales_Data!$D$2:$D$301,MATCH($B4,Sales_Data!$A$2:$A$301,0))</f>
        <v>Priya Nair</v>
      </c>
      <c r="F4" s="2" t="str">
        <f aca="false">INDEX(Sales_Data!$E$2:$E$301,MATCH($B4,Sales_Data!$A$2:$A$301,0))</f>
        <v>Juniper Foods</v>
      </c>
      <c r="G4" s="2" t="str">
        <f aca="false">INDEX(Sales_Data!$F$2:$F$301,MATCH($B4,Sales_Data!$A$2:$A$301,0))</f>
        <v>Enterprise CRM Suite</v>
      </c>
      <c r="H4" s="2" t="n">
        <f aca="false">INDEX(Sales_Data!$H$2:$H$301,MATCH($B4,Sales_Data!$A$2:$A$301,0))</f>
        <v>4</v>
      </c>
      <c r="I4" s="15" t="n">
        <f aca="false">INDEX(Sales_Data!$J$2:$J$301,MATCH($B4,Sales_Data!$A$2:$A$301,0))</f>
        <v>0</v>
      </c>
      <c r="J4" s="9" t="n">
        <f aca="false">INDEX(Sales_Data!$L$2:$L$301,MATCH($B4,Sales_Data!$A$2:$A$301,0))</f>
        <v>48000</v>
      </c>
      <c r="K4" s="9" t="n">
        <f aca="false">INDEX(Sales_Data!$M$2:$M$301,MATCH($B4,Sales_Data!$A$2:$A$301,0))</f>
        <v>28000</v>
      </c>
    </row>
    <row r="5" customFormat="false" ht="15" hidden="false" customHeight="false" outlineLevel="0" collapsed="false">
      <c r="A5" s="2" t="n">
        <v>2</v>
      </c>
      <c r="B5" s="2" t="s">
        <v>298</v>
      </c>
      <c r="C5" s="5" t="n">
        <f aca="false">INDEX(Sales_Data!$B$2:$B$301,MATCH($B5,Sales_Data!$A$2:$A$301,0))</f>
        <v>46191</v>
      </c>
      <c r="D5" s="2" t="str">
        <f aca="false">INDEX(Sales_Data!$C$2:$C$301,MATCH($B5,Sales_Data!$A$2:$A$301,0))</f>
        <v>North</v>
      </c>
      <c r="E5" s="2" t="str">
        <f aca="false">INDEX(Sales_Data!$D$2:$D$301,MATCH($B5,Sales_Data!$A$2:$A$301,0))</f>
        <v>Aisha Khan</v>
      </c>
      <c r="F5" s="2" t="str">
        <f aca="false">INDEX(Sales_Data!$E$2:$E$301,MATCH($B5,Sales_Data!$A$2:$A$301,0))</f>
        <v>BlueWave Ltd</v>
      </c>
      <c r="G5" s="2" t="str">
        <f aca="false">INDEX(Sales_Data!$F$2:$F$301,MATCH($B5,Sales_Data!$A$2:$A$301,0))</f>
        <v>Onboarding Package</v>
      </c>
      <c r="H5" s="2" t="n">
        <f aca="false">INDEX(Sales_Data!$H$2:$H$301,MATCH($B5,Sales_Data!$A$2:$A$301,0))</f>
        <v>25</v>
      </c>
      <c r="I5" s="15" t="n">
        <f aca="false">INDEX(Sales_Data!$J$2:$J$301,MATCH($B5,Sales_Data!$A$2:$A$301,0))</f>
        <v>0</v>
      </c>
      <c r="J5" s="9" t="n">
        <f aca="false">INDEX(Sales_Data!$L$2:$L$301,MATCH($B5,Sales_Data!$A$2:$A$301,0))</f>
        <v>45000</v>
      </c>
      <c r="K5" s="9" t="n">
        <f aca="false">INDEX(Sales_Data!$M$2:$M$301,MATCH($B5,Sales_Data!$A$2:$A$301,0))</f>
        <v>20000</v>
      </c>
    </row>
    <row r="6" customFormat="false" ht="15" hidden="false" customHeight="false" outlineLevel="0" collapsed="false">
      <c r="A6" s="2" t="n">
        <v>3</v>
      </c>
      <c r="B6" s="2" t="s">
        <v>275</v>
      </c>
      <c r="C6" s="5" t="n">
        <f aca="false">INDEX(Sales_Data!$B$2:$B$301,MATCH($B6,Sales_Data!$A$2:$A$301,0))</f>
        <v>46164</v>
      </c>
      <c r="D6" s="2" t="str">
        <f aca="false">INDEX(Sales_Data!$C$2:$C$301,MATCH($B6,Sales_Data!$A$2:$A$301,0))</f>
        <v>North</v>
      </c>
      <c r="E6" s="2" t="str">
        <f aca="false">INDEX(Sales_Data!$D$2:$D$301,MATCH($B6,Sales_Data!$A$2:$A$301,0))</f>
        <v>Aisha Khan</v>
      </c>
      <c r="F6" s="2" t="str">
        <f aca="false">INDEX(Sales_Data!$E$2:$E$301,MATCH($B6,Sales_Data!$A$2:$A$301,0))</f>
        <v>Lumen Telecom</v>
      </c>
      <c r="G6" s="2" t="str">
        <f aca="false">INDEX(Sales_Data!$F$2:$F$301,MATCH($B6,Sales_Data!$A$2:$A$301,0))</f>
        <v>Enterprise CRM Suite</v>
      </c>
      <c r="H6" s="2" t="n">
        <f aca="false">INDEX(Sales_Data!$H$2:$H$301,MATCH($B6,Sales_Data!$A$2:$A$301,0))</f>
        <v>4</v>
      </c>
      <c r="I6" s="15" t="n">
        <f aca="false">INDEX(Sales_Data!$J$2:$J$301,MATCH($B6,Sales_Data!$A$2:$A$301,0))</f>
        <v>0.1</v>
      </c>
      <c r="J6" s="9" t="n">
        <f aca="false">INDEX(Sales_Data!$L$2:$L$301,MATCH($B6,Sales_Data!$A$2:$A$301,0))</f>
        <v>43200</v>
      </c>
      <c r="K6" s="9" t="n">
        <f aca="false">INDEX(Sales_Data!$M$2:$M$301,MATCH($B6,Sales_Data!$A$2:$A$301,0))</f>
        <v>23200</v>
      </c>
    </row>
    <row r="7" customFormat="false" ht="15" hidden="false" customHeight="false" outlineLevel="0" collapsed="false">
      <c r="A7" s="2" t="n">
        <v>4</v>
      </c>
      <c r="B7" s="2" t="s">
        <v>190</v>
      </c>
      <c r="C7" s="5" t="n">
        <f aca="false">INDEX(Sales_Data!$B$2:$B$301,MATCH($B7,Sales_Data!$A$2:$A$301,0))</f>
        <v>46077</v>
      </c>
      <c r="D7" s="2" t="str">
        <f aca="false">INDEX(Sales_Data!$C$2:$C$301,MATCH($B7,Sales_Data!$A$2:$A$301,0))</f>
        <v>West</v>
      </c>
      <c r="E7" s="2" t="str">
        <f aca="false">INDEX(Sales_Data!$D$2:$D$301,MATCH($B7,Sales_Data!$A$2:$A$301,0))</f>
        <v>Sofia Rossi</v>
      </c>
      <c r="F7" s="2" t="str">
        <f aca="false">INDEX(Sales_Data!$E$2:$E$301,MATCH($B7,Sales_Data!$A$2:$A$301,0))</f>
        <v>Granite Bank</v>
      </c>
      <c r="G7" s="2" t="str">
        <f aca="false">INDEX(Sales_Data!$F$2:$F$301,MATCH($B7,Sales_Data!$A$2:$A$301,0))</f>
        <v>Enterprise CRM Suite</v>
      </c>
      <c r="H7" s="2" t="n">
        <f aca="false">INDEX(Sales_Data!$H$2:$H$301,MATCH($B7,Sales_Data!$A$2:$A$301,0))</f>
        <v>4</v>
      </c>
      <c r="I7" s="15" t="n">
        <f aca="false">INDEX(Sales_Data!$J$2:$J$301,MATCH($B7,Sales_Data!$A$2:$A$301,0))</f>
        <v>0.1</v>
      </c>
      <c r="J7" s="9" t="n">
        <f aca="false">INDEX(Sales_Data!$L$2:$L$301,MATCH($B7,Sales_Data!$A$2:$A$301,0))</f>
        <v>43200</v>
      </c>
      <c r="K7" s="9" t="n">
        <f aca="false">INDEX(Sales_Data!$M$2:$M$301,MATCH($B7,Sales_Data!$A$2:$A$301,0))</f>
        <v>23200</v>
      </c>
    </row>
    <row r="8" customFormat="false" ht="15" hidden="false" customHeight="false" outlineLevel="0" collapsed="false">
      <c r="A8" s="2" t="n">
        <v>5</v>
      </c>
      <c r="B8" s="2" t="s">
        <v>178</v>
      </c>
      <c r="C8" s="5" t="n">
        <f aca="false">INDEX(Sales_Data!$B$2:$B$301,MATCH($B8,Sales_Data!$A$2:$A$301,0))</f>
        <v>46059</v>
      </c>
      <c r="D8" s="2" t="str">
        <f aca="false">INDEX(Sales_Data!$C$2:$C$301,MATCH($B8,Sales_Data!$A$2:$A$301,0))</f>
        <v>North</v>
      </c>
      <c r="E8" s="2" t="str">
        <f aca="false">INDEX(Sales_Data!$D$2:$D$301,MATCH($B8,Sales_Data!$A$2:$A$301,0))</f>
        <v>Tom Becker</v>
      </c>
      <c r="F8" s="2" t="str">
        <f aca="false">INDEX(Sales_Data!$E$2:$E$301,MATCH($B8,Sales_Data!$A$2:$A$301,0))</f>
        <v>Cobalt Systems</v>
      </c>
      <c r="G8" s="2" t="str">
        <f aca="false">INDEX(Sales_Data!$F$2:$F$301,MATCH($B8,Sales_Data!$A$2:$A$301,0))</f>
        <v>Onboarding Package</v>
      </c>
      <c r="H8" s="2" t="n">
        <f aca="false">INDEX(Sales_Data!$H$2:$H$301,MATCH($B8,Sales_Data!$A$2:$A$301,0))</f>
        <v>25</v>
      </c>
      <c r="I8" s="15" t="n">
        <f aca="false">INDEX(Sales_Data!$J$2:$J$301,MATCH($B8,Sales_Data!$A$2:$A$301,0))</f>
        <v>0.05</v>
      </c>
      <c r="J8" s="9" t="n">
        <f aca="false">INDEX(Sales_Data!$L$2:$L$301,MATCH($B8,Sales_Data!$A$2:$A$301,0))</f>
        <v>42750</v>
      </c>
      <c r="K8" s="9" t="n">
        <f aca="false">INDEX(Sales_Data!$M$2:$M$301,MATCH($B8,Sales_Data!$A$2:$A$301,0))</f>
        <v>17750</v>
      </c>
    </row>
    <row r="9" customFormat="false" ht="15" hidden="false" customHeight="false" outlineLevel="0" collapsed="false">
      <c r="A9" s="2" t="n">
        <v>6</v>
      </c>
      <c r="B9" s="2" t="s">
        <v>152</v>
      </c>
      <c r="C9" s="5" t="n">
        <f aca="false">INDEX(Sales_Data!$B$2:$B$301,MATCH($B9,Sales_Data!$A$2:$A$301,0))</f>
        <v>46029</v>
      </c>
      <c r="D9" s="2" t="str">
        <f aca="false">INDEX(Sales_Data!$C$2:$C$301,MATCH($B9,Sales_Data!$A$2:$A$301,0))</f>
        <v>East</v>
      </c>
      <c r="E9" s="2" t="str">
        <f aca="false">INDEX(Sales_Data!$D$2:$D$301,MATCH($B9,Sales_Data!$A$2:$A$301,0))</f>
        <v>Marcus Hill</v>
      </c>
      <c r="F9" s="2" t="str">
        <f aca="false">INDEX(Sales_Data!$E$2:$E$301,MATCH($B9,Sales_Data!$A$2:$A$301,0))</f>
        <v>Cobalt Systems</v>
      </c>
      <c r="G9" s="2" t="str">
        <f aca="false">INDEX(Sales_Data!$F$2:$F$301,MATCH($B9,Sales_Data!$A$2:$A$301,0))</f>
        <v>Onboarding Package</v>
      </c>
      <c r="H9" s="2" t="n">
        <f aca="false">INDEX(Sales_Data!$H$2:$H$301,MATCH($B9,Sales_Data!$A$2:$A$301,0))</f>
        <v>25</v>
      </c>
      <c r="I9" s="15" t="n">
        <f aca="false">INDEX(Sales_Data!$J$2:$J$301,MATCH($B9,Sales_Data!$A$2:$A$301,0))</f>
        <v>0.05</v>
      </c>
      <c r="J9" s="9" t="n">
        <f aca="false">INDEX(Sales_Data!$L$2:$L$301,MATCH($B9,Sales_Data!$A$2:$A$301,0))</f>
        <v>42750</v>
      </c>
      <c r="K9" s="9" t="n">
        <f aca="false">INDEX(Sales_Data!$M$2:$M$301,MATCH($B9,Sales_Data!$A$2:$A$301,0))</f>
        <v>17750</v>
      </c>
    </row>
    <row r="10" customFormat="false" ht="15" hidden="false" customHeight="false" outlineLevel="0" collapsed="false">
      <c r="A10" s="2" t="n">
        <v>7</v>
      </c>
      <c r="B10" s="2" t="s">
        <v>195</v>
      </c>
      <c r="C10" s="5" t="n">
        <f aca="false">INDEX(Sales_Data!$B$2:$B$301,MATCH($B10,Sales_Data!$A$2:$A$301,0))</f>
        <v>46080</v>
      </c>
      <c r="D10" s="2" t="str">
        <f aca="false">INDEX(Sales_Data!$C$2:$C$301,MATCH($B10,Sales_Data!$A$2:$A$301,0))</f>
        <v>West</v>
      </c>
      <c r="E10" s="2" t="str">
        <f aca="false">INDEX(Sales_Data!$D$2:$D$301,MATCH($B10,Sales_Data!$A$2:$A$301,0))</f>
        <v>Daniel Cho</v>
      </c>
      <c r="F10" s="2" t="str">
        <f aca="false">INDEX(Sales_Data!$E$2:$E$301,MATCH($B10,Sales_Data!$A$2:$A$301,0))</f>
        <v>Lumen Telecom</v>
      </c>
      <c r="G10" s="2" t="str">
        <f aca="false">INDEX(Sales_Data!$F$2:$F$301,MATCH($B10,Sales_Data!$A$2:$A$301,0))</f>
        <v>Enterprise CRM Suite</v>
      </c>
      <c r="H10" s="2" t="n">
        <f aca="false">INDEX(Sales_Data!$H$2:$H$301,MATCH($B10,Sales_Data!$A$2:$A$301,0))</f>
        <v>4</v>
      </c>
      <c r="I10" s="15" t="n">
        <f aca="false">INDEX(Sales_Data!$J$2:$J$301,MATCH($B10,Sales_Data!$A$2:$A$301,0))</f>
        <v>0.15</v>
      </c>
      <c r="J10" s="9" t="n">
        <f aca="false">INDEX(Sales_Data!$L$2:$L$301,MATCH($B10,Sales_Data!$A$2:$A$301,0))</f>
        <v>40800</v>
      </c>
      <c r="K10" s="9" t="n">
        <f aca="false">INDEX(Sales_Data!$M$2:$M$301,MATCH($B10,Sales_Data!$A$2:$A$301,0))</f>
        <v>20800</v>
      </c>
    </row>
    <row r="11" customFormat="false" ht="15" hidden="false" customHeight="false" outlineLevel="0" collapsed="false">
      <c r="A11" s="2" t="n">
        <v>8</v>
      </c>
      <c r="B11" s="2" t="s">
        <v>293</v>
      </c>
      <c r="C11" s="5" t="n">
        <f aca="false">INDEX(Sales_Data!$B$2:$B$301,MATCH($B11,Sales_Data!$A$2:$A$301,0))</f>
        <v>46186</v>
      </c>
      <c r="D11" s="2" t="str">
        <f aca="false">INDEX(Sales_Data!$C$2:$C$301,MATCH($B11,Sales_Data!$A$2:$A$301,0))</f>
        <v>North</v>
      </c>
      <c r="E11" s="2" t="str">
        <f aca="false">INDEX(Sales_Data!$D$2:$D$301,MATCH($B11,Sales_Data!$A$2:$A$301,0))</f>
        <v>Aisha Khan</v>
      </c>
      <c r="F11" s="2" t="str">
        <f aca="false">INDEX(Sales_Data!$E$2:$E$301,MATCH($B11,Sales_Data!$A$2:$A$301,0))</f>
        <v>Keystone Edu</v>
      </c>
      <c r="G11" s="2" t="str">
        <f aca="false">INDEX(Sales_Data!$F$2:$F$301,MATCH($B11,Sales_Data!$A$2:$A$301,0))</f>
        <v>Server Rack X900</v>
      </c>
      <c r="H11" s="2" t="n">
        <f aca="false">INDEX(Sales_Data!$H$2:$H$301,MATCH($B11,Sales_Data!$A$2:$A$301,0))</f>
        <v>4</v>
      </c>
      <c r="I11" s="15" t="n">
        <f aca="false">INDEX(Sales_Data!$J$2:$J$301,MATCH($B11,Sales_Data!$A$2:$A$301,0))</f>
        <v>0</v>
      </c>
      <c r="J11" s="9" t="n">
        <f aca="false">INDEX(Sales_Data!$L$2:$L$301,MATCH($B11,Sales_Data!$A$2:$A$301,0))</f>
        <v>39200</v>
      </c>
      <c r="K11" s="9" t="n">
        <f aca="false">INDEX(Sales_Data!$M$2:$M$301,MATCH($B11,Sales_Data!$A$2:$A$301,0))</f>
        <v>10400</v>
      </c>
    </row>
    <row r="12" customFormat="false" ht="15" hidden="false" customHeight="false" outlineLevel="0" collapsed="false">
      <c r="A12" s="2" t="n">
        <v>9</v>
      </c>
      <c r="B12" s="2" t="s">
        <v>285</v>
      </c>
      <c r="C12" s="5" t="n">
        <f aca="false">INDEX(Sales_Data!$B$2:$B$301,MATCH($B12,Sales_Data!$A$2:$A$301,0))</f>
        <v>46173</v>
      </c>
      <c r="D12" s="2" t="str">
        <f aca="false">INDEX(Sales_Data!$C$2:$C$301,MATCH($B12,Sales_Data!$A$2:$A$301,0))</f>
        <v>East</v>
      </c>
      <c r="E12" s="2" t="str">
        <f aca="false">INDEX(Sales_Data!$D$2:$D$301,MATCH($B12,Sales_Data!$A$2:$A$301,0))</f>
        <v>Marcus Hill</v>
      </c>
      <c r="F12" s="2" t="str">
        <f aca="false">INDEX(Sales_Data!$E$2:$E$301,MATCH($B12,Sales_Data!$A$2:$A$301,0))</f>
        <v>Granite Bank</v>
      </c>
      <c r="G12" s="2" t="str">
        <f aca="false">INDEX(Sales_Data!$F$2:$F$301,MATCH($B12,Sales_Data!$A$2:$A$301,0))</f>
        <v>Server Rack X900</v>
      </c>
      <c r="H12" s="2" t="n">
        <f aca="false">INDEX(Sales_Data!$H$2:$H$301,MATCH($B12,Sales_Data!$A$2:$A$301,0))</f>
        <v>4</v>
      </c>
      <c r="I12" s="15" t="n">
        <f aca="false">INDEX(Sales_Data!$J$2:$J$301,MATCH($B12,Sales_Data!$A$2:$A$301,0))</f>
        <v>0</v>
      </c>
      <c r="J12" s="9" t="n">
        <f aca="false">INDEX(Sales_Data!$L$2:$L$301,MATCH($B12,Sales_Data!$A$2:$A$301,0))</f>
        <v>39200</v>
      </c>
      <c r="K12" s="9" t="n">
        <f aca="false">INDEX(Sales_Data!$M$2:$M$301,MATCH($B12,Sales_Data!$A$2:$A$301,0))</f>
        <v>10400</v>
      </c>
    </row>
    <row r="13" customFormat="false" ht="15" hidden="false" customHeight="false" outlineLevel="0" collapsed="false">
      <c r="A13" s="2" t="n">
        <v>10</v>
      </c>
      <c r="B13" s="2" t="s">
        <v>78</v>
      </c>
      <c r="C13" s="5" t="n">
        <f aca="false">INDEX(Sales_Data!$B$2:$B$301,MATCH($B13,Sales_Data!$A$2:$A$301,0))</f>
        <v>45961</v>
      </c>
      <c r="D13" s="2" t="str">
        <f aca="false">INDEX(Sales_Data!$C$2:$C$301,MATCH($B13,Sales_Data!$A$2:$A$301,0))</f>
        <v>West</v>
      </c>
      <c r="E13" s="2" t="str">
        <f aca="false">INDEX(Sales_Data!$D$2:$D$301,MATCH($B13,Sales_Data!$A$2:$A$301,0))</f>
        <v>Sofia Rossi</v>
      </c>
      <c r="F13" s="2" t="str">
        <f aca="false">INDEX(Sales_Data!$E$2:$E$301,MATCH($B13,Sales_Data!$A$2:$A$301,0))</f>
        <v>Granite Bank</v>
      </c>
      <c r="G13" s="2" t="str">
        <f aca="false">INDEX(Sales_Data!$F$2:$F$301,MATCH($B13,Sales_Data!$A$2:$A$301,0))</f>
        <v>Server Rack X900</v>
      </c>
      <c r="H13" s="2" t="n">
        <f aca="false">INDEX(Sales_Data!$H$2:$H$301,MATCH($B13,Sales_Data!$A$2:$A$301,0))</f>
        <v>4</v>
      </c>
      <c r="I13" s="15" t="n">
        <f aca="false">INDEX(Sales_Data!$J$2:$J$301,MATCH($B13,Sales_Data!$A$2:$A$301,0))</f>
        <v>0</v>
      </c>
      <c r="J13" s="9" t="n">
        <f aca="false">INDEX(Sales_Data!$L$2:$L$301,MATCH($B13,Sales_Data!$A$2:$A$301,0))</f>
        <v>39200</v>
      </c>
      <c r="K13" s="9" t="n">
        <f aca="false">INDEX(Sales_Data!$M$2:$M$301,MATCH($B13,Sales_Data!$A$2:$A$301,0))</f>
        <v>10400</v>
      </c>
    </row>
    <row r="14" customFormat="false" ht="15" hidden="false" customHeight="false" outlineLevel="0" collapsed="false">
      <c r="A14" s="2" t="n">
        <v>11</v>
      </c>
      <c r="B14" s="2" t="s">
        <v>300</v>
      </c>
      <c r="C14" s="5" t="n">
        <f aca="false">INDEX(Sales_Data!$B$2:$B$301,MATCH($B14,Sales_Data!$A$2:$A$301,0))</f>
        <v>46193</v>
      </c>
      <c r="D14" s="2" t="str">
        <f aca="false">INDEX(Sales_Data!$C$2:$C$301,MATCH($B14,Sales_Data!$A$2:$A$301,0))</f>
        <v>East</v>
      </c>
      <c r="E14" s="2" t="str">
        <f aca="false">INDEX(Sales_Data!$D$2:$D$301,MATCH($B14,Sales_Data!$A$2:$A$301,0))</f>
        <v>Marcus Hill</v>
      </c>
      <c r="F14" s="2" t="str">
        <f aca="false">INDEX(Sales_Data!$E$2:$E$301,MATCH($B14,Sales_Data!$A$2:$A$301,0))</f>
        <v>Ionic Energy</v>
      </c>
      <c r="G14" s="2" t="str">
        <f aca="false">INDEX(Sales_Data!$F$2:$F$301,MATCH($B14,Sales_Data!$A$2:$A$301,0))</f>
        <v>Enterprise CRM Suite</v>
      </c>
      <c r="H14" s="2" t="n">
        <f aca="false">INDEX(Sales_Data!$H$2:$H$301,MATCH($B14,Sales_Data!$A$2:$A$301,0))</f>
        <v>4</v>
      </c>
      <c r="I14" s="15" t="n">
        <f aca="false">INDEX(Sales_Data!$J$2:$J$301,MATCH($B14,Sales_Data!$A$2:$A$301,0))</f>
        <v>0.2</v>
      </c>
      <c r="J14" s="9" t="n">
        <f aca="false">INDEX(Sales_Data!$L$2:$L$301,MATCH($B14,Sales_Data!$A$2:$A$301,0))</f>
        <v>38400</v>
      </c>
      <c r="K14" s="9" t="n">
        <f aca="false">INDEX(Sales_Data!$M$2:$M$301,MATCH($B14,Sales_Data!$A$2:$A$301,0))</f>
        <v>18400</v>
      </c>
    </row>
    <row r="15" customFormat="false" ht="15" hidden="false" customHeight="false" outlineLevel="0" collapsed="false">
      <c r="A15" s="2" t="n">
        <v>12</v>
      </c>
      <c r="B15" s="2" t="s">
        <v>271</v>
      </c>
      <c r="C15" s="5" t="n">
        <f aca="false">INDEX(Sales_Data!$B$2:$B$301,MATCH($B15,Sales_Data!$A$2:$A$301,0))</f>
        <v>46161</v>
      </c>
      <c r="D15" s="2" t="str">
        <f aca="false">INDEX(Sales_Data!$C$2:$C$301,MATCH($B15,Sales_Data!$A$2:$A$301,0))</f>
        <v>North</v>
      </c>
      <c r="E15" s="2" t="str">
        <f aca="false">INDEX(Sales_Data!$D$2:$D$301,MATCH($B15,Sales_Data!$A$2:$A$301,0))</f>
        <v>Tom Becker</v>
      </c>
      <c r="F15" s="2" t="str">
        <f aca="false">INDEX(Sales_Data!$E$2:$E$301,MATCH($B15,Sales_Data!$A$2:$A$301,0))</f>
        <v>Lumen Telecom</v>
      </c>
      <c r="G15" s="2" t="str">
        <f aca="false">INDEX(Sales_Data!$F$2:$F$301,MATCH($B15,Sales_Data!$A$2:$A$301,0))</f>
        <v>Business Laptop L5</v>
      </c>
      <c r="H15" s="2" t="n">
        <f aca="false">INDEX(Sales_Data!$H$2:$H$301,MATCH($B15,Sales_Data!$A$2:$A$301,0))</f>
        <v>25</v>
      </c>
      <c r="I15" s="15" t="n">
        <f aca="false">INDEX(Sales_Data!$J$2:$J$301,MATCH($B15,Sales_Data!$A$2:$A$301,0))</f>
        <v>0</v>
      </c>
      <c r="J15" s="9" t="n">
        <f aca="false">INDEX(Sales_Data!$L$2:$L$301,MATCH($B15,Sales_Data!$A$2:$A$301,0))</f>
        <v>36250</v>
      </c>
      <c r="K15" s="9" t="n">
        <f aca="false">INDEX(Sales_Data!$M$2:$M$301,MATCH($B15,Sales_Data!$A$2:$A$301,0))</f>
        <v>10000</v>
      </c>
    </row>
    <row r="16" customFormat="false" ht="15" hidden="false" customHeight="false" outlineLevel="0" collapsed="false">
      <c r="A16" s="2" t="n">
        <v>13</v>
      </c>
      <c r="B16" s="2" t="s">
        <v>56</v>
      </c>
      <c r="C16" s="5" t="n">
        <f aca="false">INDEX(Sales_Data!$B$2:$B$301,MATCH($B16,Sales_Data!$A$2:$A$301,0))</f>
        <v>45945</v>
      </c>
      <c r="D16" s="2" t="str">
        <f aca="false">INDEX(Sales_Data!$C$2:$C$301,MATCH($B16,Sales_Data!$A$2:$A$301,0))</f>
        <v>East</v>
      </c>
      <c r="E16" s="2" t="str">
        <f aca="false">INDEX(Sales_Data!$D$2:$D$301,MATCH($B16,Sales_Data!$A$2:$A$301,0))</f>
        <v>Marcus Hill</v>
      </c>
      <c r="F16" s="2" t="str">
        <f aca="false">INDEX(Sales_Data!$E$2:$E$301,MATCH($B16,Sales_Data!$A$2:$A$301,0))</f>
        <v>Orion Travel</v>
      </c>
      <c r="G16" s="2" t="str">
        <f aca="false">INDEX(Sales_Data!$F$2:$F$301,MATCH($B16,Sales_Data!$A$2:$A$301,0))</f>
        <v>Business Laptop L5</v>
      </c>
      <c r="H16" s="2" t="n">
        <f aca="false">INDEX(Sales_Data!$H$2:$H$301,MATCH($B16,Sales_Data!$A$2:$A$301,0))</f>
        <v>25</v>
      </c>
      <c r="I16" s="15" t="n">
        <f aca="false">INDEX(Sales_Data!$J$2:$J$301,MATCH($B16,Sales_Data!$A$2:$A$301,0))</f>
        <v>0</v>
      </c>
      <c r="J16" s="9" t="n">
        <f aca="false">INDEX(Sales_Data!$L$2:$L$301,MATCH($B16,Sales_Data!$A$2:$A$301,0))</f>
        <v>36250</v>
      </c>
      <c r="K16" s="9" t="n">
        <f aca="false">INDEX(Sales_Data!$M$2:$M$301,MATCH($B16,Sales_Data!$A$2:$A$301,0))</f>
        <v>10000</v>
      </c>
    </row>
    <row r="17" customFormat="false" ht="15" hidden="false" customHeight="false" outlineLevel="0" collapsed="false">
      <c r="A17" s="2" t="n">
        <v>14</v>
      </c>
      <c r="B17" s="2" t="s">
        <v>344</v>
      </c>
      <c r="C17" s="5" t="n">
        <f aca="false">INDEX(Sales_Data!$B$2:$B$301,MATCH($B17,Sales_Data!$A$2:$A$301,0))</f>
        <v>46259</v>
      </c>
      <c r="D17" s="2" t="str">
        <f aca="false">INDEX(Sales_Data!$C$2:$C$301,MATCH($B17,Sales_Data!$A$2:$A$301,0))</f>
        <v>South</v>
      </c>
      <c r="E17" s="2" t="str">
        <f aca="false">INDEX(Sales_Data!$D$2:$D$301,MATCH($B17,Sales_Data!$A$2:$A$301,0))</f>
        <v>Luis Ortega</v>
      </c>
      <c r="F17" s="2" t="str">
        <f aca="false">INDEX(Sales_Data!$E$2:$E$301,MATCH($B17,Sales_Data!$A$2:$A$301,0))</f>
        <v>Apex Corp</v>
      </c>
      <c r="G17" s="2" t="str">
        <f aca="false">INDEX(Sales_Data!$F$2:$F$301,MATCH($B17,Sales_Data!$A$2:$A$301,0))</f>
        <v>Onboarding Package</v>
      </c>
      <c r="H17" s="2" t="n">
        <f aca="false">INDEX(Sales_Data!$H$2:$H$301,MATCH($B17,Sales_Data!$A$2:$A$301,0))</f>
        <v>20</v>
      </c>
      <c r="I17" s="15" t="n">
        <f aca="false">INDEX(Sales_Data!$J$2:$J$301,MATCH($B17,Sales_Data!$A$2:$A$301,0))</f>
        <v>0</v>
      </c>
      <c r="J17" s="9" t="n">
        <f aca="false">INDEX(Sales_Data!$L$2:$L$301,MATCH($B17,Sales_Data!$A$2:$A$301,0))</f>
        <v>36000</v>
      </c>
      <c r="K17" s="9" t="n">
        <f aca="false">INDEX(Sales_Data!$M$2:$M$301,MATCH($B17,Sales_Data!$A$2:$A$301,0))</f>
        <v>16000</v>
      </c>
    </row>
    <row r="18" customFormat="false" ht="15" hidden="false" customHeight="false" outlineLevel="0" collapsed="false">
      <c r="A18" s="2" t="n">
        <v>15</v>
      </c>
      <c r="B18" s="2" t="s">
        <v>241</v>
      </c>
      <c r="C18" s="5" t="n">
        <f aca="false">INDEX(Sales_Data!$B$2:$B$301,MATCH($B18,Sales_Data!$A$2:$A$301,0))</f>
        <v>46136</v>
      </c>
      <c r="D18" s="2" t="str">
        <f aca="false">INDEX(Sales_Data!$C$2:$C$301,MATCH($B18,Sales_Data!$A$2:$A$301,0))</f>
        <v>North</v>
      </c>
      <c r="E18" s="2" t="str">
        <f aca="false">INDEX(Sales_Data!$D$2:$D$301,MATCH($B18,Sales_Data!$A$2:$A$301,0))</f>
        <v>Aisha Khan</v>
      </c>
      <c r="F18" s="2" t="str">
        <f aca="false">INDEX(Sales_Data!$E$2:$E$301,MATCH($B18,Sales_Data!$A$2:$A$301,0))</f>
        <v>Cobalt Systems</v>
      </c>
      <c r="G18" s="2" t="str">
        <f aca="false">INDEX(Sales_Data!$F$2:$F$301,MATCH($B18,Sales_Data!$A$2:$A$301,0))</f>
        <v>Onboarding Package</v>
      </c>
      <c r="H18" s="2" t="n">
        <f aca="false">INDEX(Sales_Data!$H$2:$H$301,MATCH($B18,Sales_Data!$A$2:$A$301,0))</f>
        <v>20</v>
      </c>
      <c r="I18" s="15" t="n">
        <f aca="false">INDEX(Sales_Data!$J$2:$J$301,MATCH($B18,Sales_Data!$A$2:$A$301,0))</f>
        <v>0</v>
      </c>
      <c r="J18" s="9" t="n">
        <f aca="false">INDEX(Sales_Data!$L$2:$L$301,MATCH($B18,Sales_Data!$A$2:$A$301,0))</f>
        <v>36000</v>
      </c>
      <c r="K18" s="9" t="n">
        <f aca="false">INDEX(Sales_Data!$M$2:$M$301,MATCH($B18,Sales_Data!$A$2:$A$301,0))</f>
        <v>16000</v>
      </c>
    </row>
    <row r="19" customFormat="false" ht="15" hidden="false" customHeight="false" outlineLevel="0" collapsed="false">
      <c r="A19" s="2" t="n">
        <v>16</v>
      </c>
      <c r="B19" s="2" t="s">
        <v>162</v>
      </c>
      <c r="C19" s="5" t="n">
        <f aca="false">INDEX(Sales_Data!$B$2:$B$301,MATCH($B19,Sales_Data!$A$2:$A$301,0))</f>
        <v>46046</v>
      </c>
      <c r="D19" s="2" t="str">
        <f aca="false">INDEX(Sales_Data!$C$2:$C$301,MATCH($B19,Sales_Data!$A$2:$A$301,0))</f>
        <v>South</v>
      </c>
      <c r="E19" s="2" t="str">
        <f aca="false">INDEX(Sales_Data!$D$2:$D$301,MATCH($B19,Sales_Data!$A$2:$A$301,0))</f>
        <v>Luis Ortega</v>
      </c>
      <c r="F19" s="2" t="str">
        <f aca="false">INDEX(Sales_Data!$E$2:$E$301,MATCH($B19,Sales_Data!$A$2:$A$301,0))</f>
        <v>Juniper Foods</v>
      </c>
      <c r="G19" s="2" t="str">
        <f aca="false">INDEX(Sales_Data!$F$2:$F$301,MATCH($B19,Sales_Data!$A$2:$A$301,0))</f>
        <v>Onboarding Package</v>
      </c>
      <c r="H19" s="2" t="n">
        <f aca="false">INDEX(Sales_Data!$H$2:$H$301,MATCH($B19,Sales_Data!$A$2:$A$301,0))</f>
        <v>20</v>
      </c>
      <c r="I19" s="15" t="n">
        <f aca="false">INDEX(Sales_Data!$J$2:$J$301,MATCH($B19,Sales_Data!$A$2:$A$301,0))</f>
        <v>0</v>
      </c>
      <c r="J19" s="9" t="n">
        <f aca="false">INDEX(Sales_Data!$L$2:$L$301,MATCH($B19,Sales_Data!$A$2:$A$301,0))</f>
        <v>36000</v>
      </c>
      <c r="K19" s="9" t="n">
        <f aca="false">INDEX(Sales_Data!$M$2:$M$301,MATCH($B19,Sales_Data!$A$2:$A$301,0))</f>
        <v>16000</v>
      </c>
    </row>
    <row r="20" customFormat="false" ht="15" hidden="false" customHeight="false" outlineLevel="0" collapsed="false">
      <c r="A20" s="2" t="n">
        <v>17</v>
      </c>
      <c r="B20" s="2" t="s">
        <v>157</v>
      </c>
      <c r="C20" s="5" t="n">
        <f aca="false">INDEX(Sales_Data!$B$2:$B$301,MATCH($B20,Sales_Data!$A$2:$A$301,0))</f>
        <v>46039</v>
      </c>
      <c r="D20" s="2" t="str">
        <f aca="false">INDEX(Sales_Data!$C$2:$C$301,MATCH($B20,Sales_Data!$A$2:$A$301,0))</f>
        <v>West</v>
      </c>
      <c r="E20" s="2" t="str">
        <f aca="false">INDEX(Sales_Data!$D$2:$D$301,MATCH($B20,Sales_Data!$A$2:$A$301,0))</f>
        <v>Daniel Cho</v>
      </c>
      <c r="F20" s="2" t="str">
        <f aca="false">INDEX(Sales_Data!$E$2:$E$301,MATCH($B20,Sales_Data!$A$2:$A$301,0))</f>
        <v>Fusion Media</v>
      </c>
      <c r="G20" s="2" t="str">
        <f aca="false">INDEX(Sales_Data!$F$2:$F$301,MATCH($B20,Sales_Data!$A$2:$A$301,0))</f>
        <v>Enterprise CRM Suite</v>
      </c>
      <c r="H20" s="2" t="n">
        <f aca="false">INDEX(Sales_Data!$H$2:$H$301,MATCH($B20,Sales_Data!$A$2:$A$301,0))</f>
        <v>3</v>
      </c>
      <c r="I20" s="15" t="n">
        <f aca="false">INDEX(Sales_Data!$J$2:$J$301,MATCH($B20,Sales_Data!$A$2:$A$301,0))</f>
        <v>0</v>
      </c>
      <c r="J20" s="9" t="n">
        <f aca="false">INDEX(Sales_Data!$L$2:$L$301,MATCH($B20,Sales_Data!$A$2:$A$301,0))</f>
        <v>36000</v>
      </c>
      <c r="K20" s="9" t="n">
        <f aca="false">INDEX(Sales_Data!$M$2:$M$301,MATCH($B20,Sales_Data!$A$2:$A$301,0))</f>
        <v>21000</v>
      </c>
    </row>
    <row r="21" customFormat="false" ht="15" hidden="false" customHeight="false" outlineLevel="0" collapsed="false">
      <c r="A21" s="2" t="n">
        <v>18</v>
      </c>
      <c r="B21" s="2" t="s">
        <v>197</v>
      </c>
      <c r="C21" s="5" t="n">
        <f aca="false">INDEX(Sales_Data!$B$2:$B$301,MATCH($B21,Sales_Data!$A$2:$A$301,0))</f>
        <v>46083</v>
      </c>
      <c r="D21" s="2" t="str">
        <f aca="false">INDEX(Sales_Data!$C$2:$C$301,MATCH($B21,Sales_Data!$A$2:$A$301,0))</f>
        <v>West</v>
      </c>
      <c r="E21" s="2" t="str">
        <f aca="false">INDEX(Sales_Data!$D$2:$D$301,MATCH($B21,Sales_Data!$A$2:$A$301,0))</f>
        <v>Sofia Rossi</v>
      </c>
      <c r="F21" s="2" t="str">
        <f aca="false">INDEX(Sales_Data!$E$2:$E$301,MATCH($B21,Sales_Data!$A$2:$A$301,0))</f>
        <v>Cobalt Systems</v>
      </c>
      <c r="G21" s="2" t="str">
        <f aca="false">INDEX(Sales_Data!$F$2:$F$301,MATCH($B21,Sales_Data!$A$2:$A$301,0))</f>
        <v>Onboarding Package</v>
      </c>
      <c r="H21" s="2" t="n">
        <f aca="false">INDEX(Sales_Data!$H$2:$H$301,MATCH($B21,Sales_Data!$A$2:$A$301,0))</f>
        <v>20</v>
      </c>
      <c r="I21" s="15" t="n">
        <f aca="false">INDEX(Sales_Data!$J$2:$J$301,MATCH($B21,Sales_Data!$A$2:$A$301,0))</f>
        <v>0</v>
      </c>
      <c r="J21" s="9" t="n">
        <f aca="false">INDEX(Sales_Data!$L$2:$L$301,MATCH($B21,Sales_Data!$A$2:$A$301,0))</f>
        <v>36000</v>
      </c>
      <c r="K21" s="9" t="n">
        <f aca="false">INDEX(Sales_Data!$M$2:$M$301,MATCH($B21,Sales_Data!$A$2:$A$301,0))</f>
        <v>16000</v>
      </c>
    </row>
    <row r="22" customFormat="false" ht="15" hidden="false" customHeight="false" outlineLevel="0" collapsed="false">
      <c r="A22" s="2" t="n">
        <v>19</v>
      </c>
      <c r="B22" s="2" t="s">
        <v>247</v>
      </c>
      <c r="C22" s="5" t="n">
        <f aca="false">INDEX(Sales_Data!$B$2:$B$301,MATCH($B22,Sales_Data!$A$2:$A$301,0))</f>
        <v>46140</v>
      </c>
      <c r="D22" s="2" t="str">
        <f aca="false">INDEX(Sales_Data!$C$2:$C$301,MATCH($B22,Sales_Data!$A$2:$A$301,0))</f>
        <v>West</v>
      </c>
      <c r="E22" s="2" t="str">
        <f aca="false">INDEX(Sales_Data!$D$2:$D$301,MATCH($B22,Sales_Data!$A$2:$A$301,0))</f>
        <v>Sofia Rossi</v>
      </c>
      <c r="F22" s="2" t="str">
        <f aca="false">INDEX(Sales_Data!$E$2:$E$301,MATCH($B22,Sales_Data!$A$2:$A$301,0))</f>
        <v>Cobalt Systems</v>
      </c>
      <c r="G22" s="2" t="str">
        <f aca="false">INDEX(Sales_Data!$F$2:$F$301,MATCH($B22,Sales_Data!$A$2:$A$301,0))</f>
        <v>Server Rack X900</v>
      </c>
      <c r="H22" s="2" t="n">
        <f aca="false">INDEX(Sales_Data!$H$2:$H$301,MATCH($B22,Sales_Data!$A$2:$A$301,0))</f>
        <v>4</v>
      </c>
      <c r="I22" s="15" t="n">
        <f aca="false">INDEX(Sales_Data!$J$2:$J$301,MATCH($B22,Sales_Data!$A$2:$A$301,0))</f>
        <v>0.1</v>
      </c>
      <c r="J22" s="9" t="n">
        <f aca="false">INDEX(Sales_Data!$L$2:$L$301,MATCH($B22,Sales_Data!$A$2:$A$301,0))</f>
        <v>35280</v>
      </c>
      <c r="K22" s="9" t="n">
        <f aca="false">INDEX(Sales_Data!$M$2:$M$301,MATCH($B22,Sales_Data!$A$2:$A$301,0))</f>
        <v>6480</v>
      </c>
    </row>
    <row r="23" customFormat="false" ht="15" hidden="false" customHeight="false" outlineLevel="0" collapsed="false">
      <c r="A23" s="2" t="n">
        <v>20</v>
      </c>
      <c r="B23" s="2" t="s">
        <v>289</v>
      </c>
      <c r="C23" s="5" t="n">
        <f aca="false">INDEX(Sales_Data!$B$2:$B$301,MATCH($B23,Sales_Data!$A$2:$A$301,0))</f>
        <v>46180</v>
      </c>
      <c r="D23" s="2" t="str">
        <f aca="false">INDEX(Sales_Data!$C$2:$C$301,MATCH($B23,Sales_Data!$A$2:$A$301,0))</f>
        <v>South</v>
      </c>
      <c r="E23" s="2" t="str">
        <f aca="false">INDEX(Sales_Data!$D$2:$D$301,MATCH($B23,Sales_Data!$A$2:$A$301,0))</f>
        <v>Priya Nair</v>
      </c>
      <c r="F23" s="2" t="str">
        <f aca="false">INDEX(Sales_Data!$E$2:$E$301,MATCH($B23,Sales_Data!$A$2:$A$301,0))</f>
        <v>Horizon Logistics</v>
      </c>
      <c r="G23" s="2" t="str">
        <f aca="false">INDEX(Sales_Data!$F$2:$F$301,MATCH($B23,Sales_Data!$A$2:$A$301,0))</f>
        <v>Server Rack X900</v>
      </c>
      <c r="H23" s="2" t="n">
        <f aca="false">INDEX(Sales_Data!$H$2:$H$301,MATCH($B23,Sales_Data!$A$2:$A$301,0))</f>
        <v>4</v>
      </c>
      <c r="I23" s="15" t="n">
        <f aca="false">INDEX(Sales_Data!$J$2:$J$301,MATCH($B23,Sales_Data!$A$2:$A$301,0))</f>
        <v>0.1</v>
      </c>
      <c r="J23" s="9" t="n">
        <f aca="false">INDEX(Sales_Data!$L$2:$L$301,MATCH($B23,Sales_Data!$A$2:$A$301,0))</f>
        <v>35280</v>
      </c>
      <c r="K23" s="9" t="n">
        <f aca="false">INDEX(Sales_Data!$M$2:$M$301,MATCH($B23,Sales_Data!$A$2:$A$301,0))</f>
        <v>6480</v>
      </c>
    </row>
    <row r="24" customFormat="false" ht="15" hidden="false" customHeight="false" outlineLevel="0" collapsed="false">
      <c r="A24" s="2" t="n">
        <v>21</v>
      </c>
      <c r="B24" s="2" t="s">
        <v>221</v>
      </c>
      <c r="C24" s="5" t="n">
        <f aca="false">INDEX(Sales_Data!$B$2:$B$301,MATCH($B24,Sales_Data!$A$2:$A$301,0))</f>
        <v>46109</v>
      </c>
      <c r="D24" s="2" t="str">
        <f aca="false">INDEX(Sales_Data!$C$2:$C$301,MATCH($B24,Sales_Data!$A$2:$A$301,0))</f>
        <v>South</v>
      </c>
      <c r="E24" s="2" t="str">
        <f aca="false">INDEX(Sales_Data!$D$2:$D$301,MATCH($B24,Sales_Data!$A$2:$A$301,0))</f>
        <v>Luis Ortega</v>
      </c>
      <c r="F24" s="2" t="str">
        <f aca="false">INDEX(Sales_Data!$E$2:$E$301,MATCH($B24,Sales_Data!$A$2:$A$301,0))</f>
        <v>Fusion Media</v>
      </c>
      <c r="G24" s="2" t="str">
        <f aca="false">INDEX(Sales_Data!$F$2:$F$301,MATCH($B24,Sales_Data!$A$2:$A$301,0))</f>
        <v>Business Laptop L5</v>
      </c>
      <c r="H24" s="2" t="n">
        <f aca="false">INDEX(Sales_Data!$H$2:$H$301,MATCH($B24,Sales_Data!$A$2:$A$301,0))</f>
        <v>25</v>
      </c>
      <c r="I24" s="15" t="n">
        <f aca="false">INDEX(Sales_Data!$J$2:$J$301,MATCH($B24,Sales_Data!$A$2:$A$301,0))</f>
        <v>0.05</v>
      </c>
      <c r="J24" s="9" t="n">
        <f aca="false">INDEX(Sales_Data!$L$2:$L$301,MATCH($B24,Sales_Data!$A$2:$A$301,0))</f>
        <v>34437.5</v>
      </c>
      <c r="K24" s="9" t="n">
        <f aca="false">INDEX(Sales_Data!$M$2:$M$301,MATCH($B24,Sales_Data!$A$2:$A$301,0))</f>
        <v>8187.5</v>
      </c>
    </row>
    <row r="25" customFormat="false" ht="15" hidden="false" customHeight="false" outlineLevel="0" collapsed="false">
      <c r="A25" s="2" t="n">
        <v>22</v>
      </c>
      <c r="B25" s="2" t="s">
        <v>253</v>
      </c>
      <c r="C25" s="5" t="n">
        <f aca="false">INDEX(Sales_Data!$B$2:$B$301,MATCH($B25,Sales_Data!$A$2:$A$301,0))</f>
        <v>46143</v>
      </c>
      <c r="D25" s="2" t="str">
        <f aca="false">INDEX(Sales_Data!$C$2:$C$301,MATCH($B25,Sales_Data!$A$2:$A$301,0))</f>
        <v>South</v>
      </c>
      <c r="E25" s="2" t="str">
        <f aca="false">INDEX(Sales_Data!$D$2:$D$301,MATCH($B25,Sales_Data!$A$2:$A$301,0))</f>
        <v>Priya Nair</v>
      </c>
      <c r="F25" s="2" t="str">
        <f aca="false">INDEX(Sales_Data!$E$2:$E$301,MATCH($B25,Sales_Data!$A$2:$A$301,0))</f>
        <v>Juniper Foods</v>
      </c>
      <c r="G25" s="2" t="str">
        <f aca="false">INDEX(Sales_Data!$F$2:$F$301,MATCH($B25,Sales_Data!$A$2:$A$301,0))</f>
        <v>Business Laptop L5</v>
      </c>
      <c r="H25" s="2" t="n">
        <f aca="false">INDEX(Sales_Data!$H$2:$H$301,MATCH($B25,Sales_Data!$A$2:$A$301,0))</f>
        <v>25</v>
      </c>
      <c r="I25" s="15" t="n">
        <f aca="false">INDEX(Sales_Data!$J$2:$J$301,MATCH($B25,Sales_Data!$A$2:$A$301,0))</f>
        <v>0.05</v>
      </c>
      <c r="J25" s="9" t="n">
        <f aca="false">INDEX(Sales_Data!$L$2:$L$301,MATCH($B25,Sales_Data!$A$2:$A$301,0))</f>
        <v>34437.5</v>
      </c>
      <c r="K25" s="9" t="n">
        <f aca="false">INDEX(Sales_Data!$M$2:$M$301,MATCH($B25,Sales_Data!$A$2:$A$301,0))</f>
        <v>8187.5</v>
      </c>
    </row>
    <row r="26" customFormat="false" ht="15" hidden="false" customHeight="false" outlineLevel="0" collapsed="false">
      <c r="A26" s="2" t="n">
        <v>23</v>
      </c>
      <c r="B26" s="2" t="s">
        <v>47</v>
      </c>
      <c r="C26" s="5" t="n">
        <f aca="false">INDEX(Sales_Data!$B$2:$B$301,MATCH($B26,Sales_Data!$A$2:$A$301,0))</f>
        <v>45942</v>
      </c>
      <c r="D26" s="2" t="str">
        <f aca="false">INDEX(Sales_Data!$C$2:$C$301,MATCH($B26,Sales_Data!$A$2:$A$301,0))</f>
        <v>East</v>
      </c>
      <c r="E26" s="2" t="str">
        <f aca="false">INDEX(Sales_Data!$D$2:$D$301,MATCH($B26,Sales_Data!$A$2:$A$301,0))</f>
        <v>Grace Liu</v>
      </c>
      <c r="F26" s="2" t="str">
        <f aca="false">INDEX(Sales_Data!$E$2:$E$301,MATCH($B26,Sales_Data!$A$2:$A$301,0))</f>
        <v>Lumen Telecom</v>
      </c>
      <c r="G26" s="2" t="str">
        <f aca="false">INDEX(Sales_Data!$F$2:$F$301,MATCH($B26,Sales_Data!$A$2:$A$301,0))</f>
        <v>Business Laptop L5</v>
      </c>
      <c r="H26" s="2" t="n">
        <f aca="false">INDEX(Sales_Data!$H$2:$H$301,MATCH($B26,Sales_Data!$A$2:$A$301,0))</f>
        <v>25</v>
      </c>
      <c r="I26" s="15" t="n">
        <f aca="false">INDEX(Sales_Data!$J$2:$J$301,MATCH($B26,Sales_Data!$A$2:$A$301,0))</f>
        <v>0.05</v>
      </c>
      <c r="J26" s="9" t="n">
        <f aca="false">INDEX(Sales_Data!$L$2:$L$301,MATCH($B26,Sales_Data!$A$2:$A$301,0))</f>
        <v>34437.5</v>
      </c>
      <c r="K26" s="9" t="n">
        <f aca="false">INDEX(Sales_Data!$M$2:$M$301,MATCH($B26,Sales_Data!$A$2:$A$301,0))</f>
        <v>8187.5</v>
      </c>
    </row>
    <row r="27" customFormat="false" ht="15" hidden="false" customHeight="false" outlineLevel="0" collapsed="false">
      <c r="A27" s="2" t="n">
        <v>24</v>
      </c>
      <c r="B27" s="2" t="s">
        <v>206</v>
      </c>
      <c r="C27" s="5" t="n">
        <f aca="false">INDEX(Sales_Data!$B$2:$B$301,MATCH($B27,Sales_Data!$A$2:$A$301,0))</f>
        <v>46095</v>
      </c>
      <c r="D27" s="2" t="str">
        <f aca="false">INDEX(Sales_Data!$C$2:$C$301,MATCH($B27,Sales_Data!$A$2:$A$301,0))</f>
        <v>West</v>
      </c>
      <c r="E27" s="2" t="str">
        <f aca="false">INDEX(Sales_Data!$D$2:$D$301,MATCH($B27,Sales_Data!$A$2:$A$301,0))</f>
        <v>Sofia Rossi</v>
      </c>
      <c r="F27" s="2" t="str">
        <f aca="false">INDEX(Sales_Data!$E$2:$E$301,MATCH($B27,Sales_Data!$A$2:$A$301,0))</f>
        <v>Juniper Foods</v>
      </c>
      <c r="G27" s="2" t="str">
        <f aca="false">INDEX(Sales_Data!$F$2:$F$301,MATCH($B27,Sales_Data!$A$2:$A$301,0))</f>
        <v>Business Laptop L5</v>
      </c>
      <c r="H27" s="2" t="n">
        <f aca="false">INDEX(Sales_Data!$H$2:$H$301,MATCH($B27,Sales_Data!$A$2:$A$301,0))</f>
        <v>25</v>
      </c>
      <c r="I27" s="15" t="n">
        <f aca="false">INDEX(Sales_Data!$J$2:$J$301,MATCH($B27,Sales_Data!$A$2:$A$301,0))</f>
        <v>0.05</v>
      </c>
      <c r="J27" s="9" t="n">
        <f aca="false">INDEX(Sales_Data!$L$2:$L$301,MATCH($B27,Sales_Data!$A$2:$A$301,0))</f>
        <v>34437.5</v>
      </c>
      <c r="K27" s="9" t="n">
        <f aca="false">INDEX(Sales_Data!$M$2:$M$301,MATCH($B27,Sales_Data!$A$2:$A$301,0))</f>
        <v>8187.5</v>
      </c>
    </row>
    <row r="28" customFormat="false" ht="15" hidden="false" customHeight="false" outlineLevel="0" collapsed="false">
      <c r="A28" s="2" t="n">
        <v>25</v>
      </c>
      <c r="B28" s="2" t="s">
        <v>331</v>
      </c>
      <c r="C28" s="5" t="n">
        <f aca="false">INDEX(Sales_Data!$B$2:$B$301,MATCH($B28,Sales_Data!$A$2:$A$301,0))</f>
        <v>46243</v>
      </c>
      <c r="D28" s="2" t="str">
        <f aca="false">INDEX(Sales_Data!$C$2:$C$301,MATCH($B28,Sales_Data!$A$2:$A$301,0))</f>
        <v>East</v>
      </c>
      <c r="E28" s="2" t="str">
        <f aca="false">INDEX(Sales_Data!$D$2:$D$301,MATCH($B28,Sales_Data!$A$2:$A$301,0))</f>
        <v>Grace Liu</v>
      </c>
      <c r="F28" s="2" t="str">
        <f aca="false">INDEX(Sales_Data!$E$2:$E$301,MATCH($B28,Sales_Data!$A$2:$A$301,0))</f>
        <v>Evergreen Health</v>
      </c>
      <c r="G28" s="2" t="str">
        <f aca="false">INDEX(Sales_Data!$F$2:$F$301,MATCH($B28,Sales_Data!$A$2:$A$301,0))</f>
        <v>Business Laptop L5</v>
      </c>
      <c r="H28" s="2" t="n">
        <f aca="false">INDEX(Sales_Data!$H$2:$H$301,MATCH($B28,Sales_Data!$A$2:$A$301,0))</f>
        <v>25</v>
      </c>
      <c r="I28" s="15" t="n">
        <f aca="false">INDEX(Sales_Data!$J$2:$J$301,MATCH($B28,Sales_Data!$A$2:$A$301,0))</f>
        <v>0.05</v>
      </c>
      <c r="J28" s="9" t="n">
        <f aca="false">INDEX(Sales_Data!$L$2:$L$301,MATCH($B28,Sales_Data!$A$2:$A$301,0))</f>
        <v>34437.5</v>
      </c>
      <c r="K28" s="9" t="n">
        <f aca="false">INDEX(Sales_Data!$M$2:$M$301,MATCH($B28,Sales_Data!$A$2:$A$301,0))</f>
        <v>8187.5</v>
      </c>
    </row>
    <row r="29" customFormat="false" ht="15" hidden="false" customHeight="false" outlineLevel="0" collapsed="false">
      <c r="A29" s="2" t="n">
        <v>26</v>
      </c>
      <c r="B29" s="2" t="s">
        <v>41</v>
      </c>
      <c r="C29" s="5" t="n">
        <f aca="false">INDEX(Sales_Data!$B$2:$B$301,MATCH($B29,Sales_Data!$A$2:$A$301,0))</f>
        <v>45938</v>
      </c>
      <c r="D29" s="2" t="str">
        <f aca="false">INDEX(Sales_Data!$C$2:$C$301,MATCH($B29,Sales_Data!$A$2:$A$301,0))</f>
        <v>West</v>
      </c>
      <c r="E29" s="2" t="str">
        <f aca="false">INDEX(Sales_Data!$D$2:$D$301,MATCH($B29,Sales_Data!$A$2:$A$301,0))</f>
        <v>Daniel Cho</v>
      </c>
      <c r="F29" s="2" t="str">
        <f aca="false">INDEX(Sales_Data!$E$2:$E$301,MATCH($B29,Sales_Data!$A$2:$A$301,0))</f>
        <v>Nova Pharma</v>
      </c>
      <c r="G29" s="2" t="str">
        <f aca="false">INDEX(Sales_Data!$F$2:$F$301,MATCH($B29,Sales_Data!$A$2:$A$301,0))</f>
        <v>Analytics Platform</v>
      </c>
      <c r="H29" s="2" t="n">
        <f aca="false">INDEX(Sales_Data!$H$2:$H$301,MATCH($B29,Sales_Data!$A$2:$A$301,0))</f>
        <v>4</v>
      </c>
      <c r="I29" s="15" t="n">
        <f aca="false">INDEX(Sales_Data!$J$2:$J$301,MATCH($B29,Sales_Data!$A$2:$A$301,0))</f>
        <v>0</v>
      </c>
      <c r="J29" s="9" t="n">
        <f aca="false">INDEX(Sales_Data!$L$2:$L$301,MATCH($B29,Sales_Data!$A$2:$A$301,0))</f>
        <v>34000</v>
      </c>
      <c r="K29" s="9" t="n">
        <f aca="false">INDEX(Sales_Data!$M$2:$M$301,MATCH($B29,Sales_Data!$A$2:$A$301,0))</f>
        <v>21200</v>
      </c>
    </row>
    <row r="30" customFormat="false" ht="15" hidden="false" customHeight="false" outlineLevel="0" collapsed="false">
      <c r="A30" s="2" t="n">
        <v>27</v>
      </c>
      <c r="B30" s="2" t="s">
        <v>245</v>
      </c>
      <c r="C30" s="5" t="n">
        <f aca="false">INDEX(Sales_Data!$B$2:$B$301,MATCH($B30,Sales_Data!$A$2:$A$301,0))</f>
        <v>46139</v>
      </c>
      <c r="D30" s="2" t="str">
        <f aca="false">INDEX(Sales_Data!$C$2:$C$301,MATCH($B30,Sales_Data!$A$2:$A$301,0))</f>
        <v>West</v>
      </c>
      <c r="E30" s="2" t="str">
        <f aca="false">INDEX(Sales_Data!$D$2:$D$301,MATCH($B30,Sales_Data!$A$2:$A$301,0))</f>
        <v>Sofia Rossi</v>
      </c>
      <c r="F30" s="2" t="str">
        <f aca="false">INDEX(Sales_Data!$E$2:$E$301,MATCH($B30,Sales_Data!$A$2:$A$301,0))</f>
        <v>Keystone Edu</v>
      </c>
      <c r="G30" s="2" t="str">
        <f aca="false">INDEX(Sales_Data!$F$2:$F$301,MATCH($B30,Sales_Data!$A$2:$A$301,0))</f>
        <v>Analytics Platform</v>
      </c>
      <c r="H30" s="2" t="n">
        <f aca="false">INDEX(Sales_Data!$H$2:$H$301,MATCH($B30,Sales_Data!$A$2:$A$301,0))</f>
        <v>4</v>
      </c>
      <c r="I30" s="15" t="n">
        <f aca="false">INDEX(Sales_Data!$J$2:$J$301,MATCH($B30,Sales_Data!$A$2:$A$301,0))</f>
        <v>0</v>
      </c>
      <c r="J30" s="9" t="n">
        <f aca="false">INDEX(Sales_Data!$L$2:$L$301,MATCH($B30,Sales_Data!$A$2:$A$301,0))</f>
        <v>34000</v>
      </c>
      <c r="K30" s="9" t="n">
        <f aca="false">INDEX(Sales_Data!$M$2:$M$301,MATCH($B30,Sales_Data!$A$2:$A$301,0))</f>
        <v>21200</v>
      </c>
    </row>
    <row r="31" customFormat="false" ht="15" hidden="false" customHeight="false" outlineLevel="0" collapsed="false">
      <c r="A31" s="2" t="n">
        <v>28</v>
      </c>
      <c r="B31" s="2" t="s">
        <v>238</v>
      </c>
      <c r="C31" s="5" t="n">
        <f aca="false">INDEX(Sales_Data!$B$2:$B$301,MATCH($B31,Sales_Data!$A$2:$A$301,0))</f>
        <v>46130</v>
      </c>
      <c r="D31" s="2" t="str">
        <f aca="false">INDEX(Sales_Data!$C$2:$C$301,MATCH($B31,Sales_Data!$A$2:$A$301,0))</f>
        <v>North</v>
      </c>
      <c r="E31" s="2" t="str">
        <f aca="false">INDEX(Sales_Data!$D$2:$D$301,MATCH($B31,Sales_Data!$A$2:$A$301,0))</f>
        <v>Aisha Khan</v>
      </c>
      <c r="F31" s="2" t="str">
        <f aca="false">INDEX(Sales_Data!$E$2:$E$301,MATCH($B31,Sales_Data!$A$2:$A$301,0))</f>
        <v>Keystone Edu</v>
      </c>
      <c r="G31" s="2" t="str">
        <f aca="false">INDEX(Sales_Data!$F$2:$F$301,MATCH($B31,Sales_Data!$A$2:$A$301,0))</f>
        <v>Business Laptop L5</v>
      </c>
      <c r="H31" s="2" t="n">
        <f aca="false">INDEX(Sales_Data!$H$2:$H$301,MATCH($B31,Sales_Data!$A$2:$A$301,0))</f>
        <v>25</v>
      </c>
      <c r="I31" s="15" t="n">
        <f aca="false">INDEX(Sales_Data!$J$2:$J$301,MATCH($B31,Sales_Data!$A$2:$A$301,0))</f>
        <v>0.1</v>
      </c>
      <c r="J31" s="9" t="n">
        <f aca="false">INDEX(Sales_Data!$L$2:$L$301,MATCH($B31,Sales_Data!$A$2:$A$301,0))</f>
        <v>32625</v>
      </c>
      <c r="K31" s="9" t="n">
        <f aca="false">INDEX(Sales_Data!$M$2:$M$301,MATCH($B31,Sales_Data!$A$2:$A$301,0))</f>
        <v>6375</v>
      </c>
    </row>
    <row r="32" customFormat="false" ht="15" hidden="false" customHeight="false" outlineLevel="0" collapsed="false">
      <c r="A32" s="2" t="n">
        <v>29</v>
      </c>
      <c r="B32" s="2" t="s">
        <v>310</v>
      </c>
      <c r="C32" s="5" t="n">
        <f aca="false">INDEX(Sales_Data!$B$2:$B$301,MATCH($B32,Sales_Data!$A$2:$A$301,0))</f>
        <v>46209</v>
      </c>
      <c r="D32" s="2" t="str">
        <f aca="false">INDEX(Sales_Data!$C$2:$C$301,MATCH($B32,Sales_Data!$A$2:$A$301,0))</f>
        <v>West</v>
      </c>
      <c r="E32" s="2" t="str">
        <f aca="false">INDEX(Sales_Data!$D$2:$D$301,MATCH($B32,Sales_Data!$A$2:$A$301,0))</f>
        <v>Sofia Rossi</v>
      </c>
      <c r="F32" s="2" t="str">
        <f aca="false">INDEX(Sales_Data!$E$2:$E$301,MATCH($B32,Sales_Data!$A$2:$A$301,0))</f>
        <v>Meridian Auto</v>
      </c>
      <c r="G32" s="2" t="str">
        <f aca="false">INDEX(Sales_Data!$F$2:$F$301,MATCH($B32,Sales_Data!$A$2:$A$301,0))</f>
        <v>Enterprise CRM Suite</v>
      </c>
      <c r="H32" s="2" t="n">
        <f aca="false">INDEX(Sales_Data!$H$2:$H$301,MATCH($B32,Sales_Data!$A$2:$A$301,0))</f>
        <v>3</v>
      </c>
      <c r="I32" s="15" t="n">
        <f aca="false">INDEX(Sales_Data!$J$2:$J$301,MATCH($B32,Sales_Data!$A$2:$A$301,0))</f>
        <v>0.1</v>
      </c>
      <c r="J32" s="9" t="n">
        <f aca="false">INDEX(Sales_Data!$L$2:$L$301,MATCH($B32,Sales_Data!$A$2:$A$301,0))</f>
        <v>32400</v>
      </c>
      <c r="K32" s="9" t="n">
        <f aca="false">INDEX(Sales_Data!$M$2:$M$301,MATCH($B32,Sales_Data!$A$2:$A$301,0))</f>
        <v>17400</v>
      </c>
    </row>
    <row r="33" customFormat="false" ht="15" hidden="false" customHeight="false" outlineLevel="0" collapsed="false">
      <c r="A33" s="2" t="n">
        <v>30</v>
      </c>
      <c r="B33" s="2" t="s">
        <v>338</v>
      </c>
      <c r="C33" s="5" t="n">
        <f aca="false">INDEX(Sales_Data!$B$2:$B$301,MATCH($B33,Sales_Data!$A$2:$A$301,0))</f>
        <v>46251</v>
      </c>
      <c r="D33" s="2" t="str">
        <f aca="false">INDEX(Sales_Data!$C$2:$C$301,MATCH($B33,Sales_Data!$A$2:$A$301,0))</f>
        <v>West</v>
      </c>
      <c r="E33" s="2" t="str">
        <f aca="false">INDEX(Sales_Data!$D$2:$D$301,MATCH($B33,Sales_Data!$A$2:$A$301,0))</f>
        <v>Sofia Rossi</v>
      </c>
      <c r="F33" s="2" t="str">
        <f aca="false">INDEX(Sales_Data!$E$2:$E$301,MATCH($B33,Sales_Data!$A$2:$A$301,0))</f>
        <v>Delta Retail</v>
      </c>
      <c r="G33" s="2" t="str">
        <f aca="false">INDEX(Sales_Data!$F$2:$F$301,MATCH($B33,Sales_Data!$A$2:$A$301,0))</f>
        <v>Enterprise CRM Suite</v>
      </c>
      <c r="H33" s="2" t="n">
        <f aca="false">INDEX(Sales_Data!$H$2:$H$301,MATCH($B33,Sales_Data!$A$2:$A$301,0))</f>
        <v>3</v>
      </c>
      <c r="I33" s="15" t="n">
        <f aca="false">INDEX(Sales_Data!$J$2:$J$301,MATCH($B33,Sales_Data!$A$2:$A$301,0))</f>
        <v>0.1</v>
      </c>
      <c r="J33" s="9" t="n">
        <f aca="false">INDEX(Sales_Data!$L$2:$L$301,MATCH($B33,Sales_Data!$A$2:$A$301,0))</f>
        <v>32400</v>
      </c>
      <c r="K33" s="9" t="n">
        <f aca="false">INDEX(Sales_Data!$M$2:$M$301,MATCH($B33,Sales_Data!$A$2:$A$301,0))</f>
        <v>17400</v>
      </c>
    </row>
    <row r="34" customFormat="false" ht="15" hidden="false" customHeight="false" outlineLevel="0" collapsed="false">
      <c r="A34" s="2" t="n">
        <v>31</v>
      </c>
      <c r="B34" s="2" t="s">
        <v>215</v>
      </c>
      <c r="C34" s="5" t="n">
        <f aca="false">INDEX(Sales_Data!$B$2:$B$301,MATCH($B34,Sales_Data!$A$2:$A$301,0))</f>
        <v>46102</v>
      </c>
      <c r="D34" s="2" t="str">
        <f aca="false">INDEX(Sales_Data!$C$2:$C$301,MATCH($B34,Sales_Data!$A$2:$A$301,0))</f>
        <v>North</v>
      </c>
      <c r="E34" s="2" t="str">
        <f aca="false">INDEX(Sales_Data!$D$2:$D$301,MATCH($B34,Sales_Data!$A$2:$A$301,0))</f>
        <v>Tom Becker</v>
      </c>
      <c r="F34" s="2" t="str">
        <f aca="false">INDEX(Sales_Data!$E$2:$E$301,MATCH($B34,Sales_Data!$A$2:$A$301,0))</f>
        <v>Orion Travel</v>
      </c>
      <c r="G34" s="2" t="str">
        <f aca="false">INDEX(Sales_Data!$F$2:$F$301,MATCH($B34,Sales_Data!$A$2:$A$301,0))</f>
        <v>Enterprise CRM Suite</v>
      </c>
      <c r="H34" s="2" t="n">
        <f aca="false">INDEX(Sales_Data!$H$2:$H$301,MATCH($B34,Sales_Data!$A$2:$A$301,0))</f>
        <v>3</v>
      </c>
      <c r="I34" s="15" t="n">
        <f aca="false">INDEX(Sales_Data!$J$2:$J$301,MATCH($B34,Sales_Data!$A$2:$A$301,0))</f>
        <v>0.1</v>
      </c>
      <c r="J34" s="9" t="n">
        <f aca="false">INDEX(Sales_Data!$L$2:$L$301,MATCH($B34,Sales_Data!$A$2:$A$301,0))</f>
        <v>32400</v>
      </c>
      <c r="K34" s="9" t="n">
        <f aca="false">INDEX(Sales_Data!$M$2:$M$301,MATCH($B34,Sales_Data!$A$2:$A$301,0))</f>
        <v>17400</v>
      </c>
    </row>
    <row r="35" customFormat="false" ht="15" hidden="false" customHeight="false" outlineLevel="0" collapsed="false">
      <c r="A35" s="2" t="n">
        <v>32</v>
      </c>
      <c r="B35" s="2" t="s">
        <v>185</v>
      </c>
      <c r="C35" s="5" t="n">
        <f aca="false">INDEX(Sales_Data!$B$2:$B$301,MATCH($B35,Sales_Data!$A$2:$A$301,0))</f>
        <v>46071</v>
      </c>
      <c r="D35" s="2" t="str">
        <f aca="false">INDEX(Sales_Data!$C$2:$C$301,MATCH($B35,Sales_Data!$A$2:$A$301,0))</f>
        <v>West</v>
      </c>
      <c r="E35" s="2" t="str">
        <f aca="false">INDEX(Sales_Data!$D$2:$D$301,MATCH($B35,Sales_Data!$A$2:$A$301,0))</f>
        <v>Sofia Rossi</v>
      </c>
      <c r="F35" s="2" t="str">
        <f aca="false">INDEX(Sales_Data!$E$2:$E$301,MATCH($B35,Sales_Data!$A$2:$A$301,0))</f>
        <v>BlueWave Ltd</v>
      </c>
      <c r="G35" s="2" t="str">
        <f aca="false">INDEX(Sales_Data!$F$2:$F$301,MATCH($B35,Sales_Data!$A$2:$A$301,0))</f>
        <v>Enterprise CRM Suite</v>
      </c>
      <c r="H35" s="2" t="n">
        <f aca="false">INDEX(Sales_Data!$H$2:$H$301,MATCH($B35,Sales_Data!$A$2:$A$301,0))</f>
        <v>3</v>
      </c>
      <c r="I35" s="15" t="n">
        <f aca="false">INDEX(Sales_Data!$J$2:$J$301,MATCH($B35,Sales_Data!$A$2:$A$301,0))</f>
        <v>0.1</v>
      </c>
      <c r="J35" s="9" t="n">
        <f aca="false">INDEX(Sales_Data!$L$2:$L$301,MATCH($B35,Sales_Data!$A$2:$A$301,0))</f>
        <v>32400</v>
      </c>
      <c r="K35" s="9" t="n">
        <f aca="false">INDEX(Sales_Data!$M$2:$M$301,MATCH($B35,Sales_Data!$A$2:$A$301,0))</f>
        <v>17400</v>
      </c>
    </row>
  </sheetData>
  <autoFilter ref="A3:K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7"/>
  </cols>
  <sheetData>
    <row r="1" customFormat="false" ht="17.35" hidden="false" customHeight="false" outlineLevel="0" collapsed="false">
      <c r="A1" s="1" t="s">
        <v>386</v>
      </c>
    </row>
    <row r="3" customFormat="false" ht="30" hidden="false" customHeight="true" outlineLevel="0" collapsed="false">
      <c r="A3" s="4" t="s">
        <v>19</v>
      </c>
      <c r="B3" s="4" t="s">
        <v>20</v>
      </c>
      <c r="C3" s="4" t="s">
        <v>377</v>
      </c>
      <c r="D3" s="4" t="s">
        <v>25</v>
      </c>
      <c r="E3" s="4" t="s">
        <v>26</v>
      </c>
      <c r="F3" s="4" t="s">
        <v>378</v>
      </c>
      <c r="G3" s="4" t="s">
        <v>379</v>
      </c>
      <c r="H3" s="4" t="s">
        <v>381</v>
      </c>
    </row>
    <row r="4" customFormat="false" ht="15" hidden="false" customHeight="false" outlineLevel="0" collapsed="false">
      <c r="A4" s="2" t="s">
        <v>144</v>
      </c>
      <c r="B4" s="2" t="str">
        <f aca="false">INDEX(Product_Summary!$B$7:$B$18,MATCH($A4,Product_Summary!$A$7:$A$18,0))</f>
        <v>Hardware</v>
      </c>
      <c r="C4" s="2" t="n">
        <f aca="false">INDEX(Product_Summary!$D$7:$D$18,MATCH($A4,Product_Summary!$A$7:$A$18,0))</f>
        <v>22</v>
      </c>
      <c r="D4" s="9" t="n">
        <f aca="false">INDEX(Product_Summary!$E$7:$E$18,MATCH($A4,Product_Summary!$A$7:$A$18,0))</f>
        <v>7942.5</v>
      </c>
      <c r="E4" s="9" t="n">
        <f aca="false">INDEX(Product_Summary!$F$7:$F$18,MATCH($A4,Product_Summary!$A$7:$A$18,0))</f>
        <v>-1077.5</v>
      </c>
      <c r="F4" s="12" t="n">
        <f aca="false">INDEX(Product_Summary!$G$7:$G$18,MATCH($A4,Product_Summary!$A$7:$A$18,0))</f>
        <v>-0.135662574756059</v>
      </c>
      <c r="G4" s="12" t="n">
        <f aca="false">INDEX(Product_Summary!$H$7:$H$18,MATCH($A4,Product_Summary!$A$7:$A$18,0))</f>
        <v>0</v>
      </c>
      <c r="H4" s="2" t="str">
        <f aca="false">INDEX(Product_Summary!$J$7:$J$18,MATCH($A4,Product_Summary!$A$7:$A$18,0))</f>
        <v>Underperforming</v>
      </c>
    </row>
    <row r="5" customFormat="false" ht="15" hidden="false" customHeight="false" outlineLevel="0" collapsed="false">
      <c r="A5" s="2" t="s">
        <v>68</v>
      </c>
      <c r="B5" s="2" t="str">
        <f aca="false">INDEX(Product_Summary!$B$7:$B$18,MATCH($A5,Product_Summary!$A$7:$A$18,0))</f>
        <v>Services</v>
      </c>
      <c r="C5" s="2" t="n">
        <f aca="false">INDEX(Product_Summary!$D$7:$D$18,MATCH($A5,Product_Summary!$A$7:$A$18,0))</f>
        <v>61</v>
      </c>
      <c r="D5" s="9" t="n">
        <f aca="false">INDEX(Product_Summary!$E$7:$E$18,MATCH($A5,Product_Summary!$A$7:$A$18,0))</f>
        <v>26970</v>
      </c>
      <c r="E5" s="9" t="n">
        <f aca="false">INDEX(Product_Summary!$F$7:$F$18,MATCH($A5,Product_Summary!$A$7:$A$18,0))</f>
        <v>-4750</v>
      </c>
      <c r="F5" s="12" t="n">
        <f aca="false">INDEX(Product_Summary!$G$7:$G$18,MATCH($A5,Product_Summary!$A$7:$A$18,0))</f>
        <v>-0.176121616611049</v>
      </c>
      <c r="G5" s="12" t="n">
        <f aca="false">INDEX(Product_Summary!$H$7:$H$18,MATCH($A5,Product_Summary!$A$7:$A$18,0))</f>
        <v>0</v>
      </c>
      <c r="H5" s="2" t="str">
        <f aca="false">INDEX(Product_Summary!$J$7:$J$18,MATCH($A5,Product_Summary!$A$7:$A$18,0))</f>
        <v>Underperforming</v>
      </c>
    </row>
    <row r="6" customFormat="false" ht="15" hidden="false" customHeight="false" outlineLevel="0" collapsed="false">
      <c r="A6" s="2" t="s">
        <v>39</v>
      </c>
      <c r="B6" s="2" t="str">
        <f aca="false">INDEX(Product_Summary!$B$7:$B$18,MATCH($A6,Product_Summary!$A$7:$A$18,0))</f>
        <v>Hardware</v>
      </c>
      <c r="C6" s="2" t="n">
        <f aca="false">INDEX(Product_Summary!$D$7:$D$18,MATCH($A6,Product_Summary!$A$7:$A$18,0))</f>
        <v>24</v>
      </c>
      <c r="D6" s="9" t="n">
        <f aca="false">INDEX(Product_Summary!$E$7:$E$18,MATCH($A6,Product_Summary!$A$7:$A$18,0))</f>
        <v>33155</v>
      </c>
      <c r="E6" s="9" t="n">
        <f aca="false">INDEX(Product_Summary!$F$7:$F$18,MATCH($A6,Product_Summary!$A$7:$A$18,0))</f>
        <v>-6445</v>
      </c>
      <c r="F6" s="12" t="n">
        <f aca="false">INDEX(Product_Summary!$G$7:$G$18,MATCH($A6,Product_Summary!$A$7:$A$18,0))</f>
        <v>-0.194389986427387</v>
      </c>
      <c r="G6" s="12" t="n">
        <f aca="false">INDEX(Product_Summary!$H$7:$H$18,MATCH($A6,Product_Summary!$A$7:$A$18,0))</f>
        <v>0</v>
      </c>
      <c r="H6" s="2" t="str">
        <f aca="false">INDEX(Product_Summary!$J$7:$J$18,MATCH($A6,Product_Summary!$A$7:$A$18,0))</f>
        <v>Underperforming</v>
      </c>
    </row>
    <row r="7" customFormat="false" ht="15" hidden="false" customHeight="false" outlineLevel="0" collapsed="false">
      <c r="A7" s="2" t="s">
        <v>46</v>
      </c>
      <c r="B7" s="2" t="str">
        <f aca="false">INDEX(Product_Summary!$B$7:$B$18,MATCH($A7,Product_Summary!$A$7:$A$18,0))</f>
        <v>Hardware</v>
      </c>
      <c r="C7" s="2" t="n">
        <f aca="false">INDEX(Product_Summary!$D$7:$D$18,MATCH($A7,Product_Summary!$A$7:$A$18,0))</f>
        <v>706</v>
      </c>
      <c r="D7" s="9" t="n">
        <f aca="false">INDEX(Product_Summary!$E$7:$E$18,MATCH($A7,Product_Summary!$A$7:$A$18,0))</f>
        <v>206512</v>
      </c>
      <c r="E7" s="9" t="n">
        <f aca="false">INDEX(Product_Summary!$F$7:$F$18,MATCH($A7,Product_Summary!$A$7:$A$18,0))</f>
        <v>37072</v>
      </c>
      <c r="F7" s="12" t="n">
        <f aca="false">INDEX(Product_Summary!$G$7:$G$18,MATCH($A7,Product_Summary!$A$7:$A$18,0))</f>
        <v>0.17951499186488</v>
      </c>
      <c r="G7" s="12" t="n">
        <f aca="false">INDEX(Product_Summary!$H$7:$H$18,MATCH($A7,Product_Summary!$A$7:$A$18,0))</f>
        <v>0.0163934426229508</v>
      </c>
      <c r="H7" s="2" t="str">
        <f aca="false">INDEX(Product_Summary!$J$7:$J$18,MATCH($A7,Product_Summary!$A$7:$A$18,0))</f>
        <v>Underperforming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2026-10-13T05:51:51Z</dcterms:created>
  <dc:creator>openpyxl</dc:creator>
  <dc:description/>
  <dc:language>en-US</dc:language>
  <cp:lastModifiedBy/>
  <dcterms:modified xsi:type="dcterms:W3CDTF">2026-10-13T05:51:51Z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